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5ED9CD3B-384F-444D-B98A-CAFA6D642A11}" xr6:coauthVersionLast="47" xr6:coauthVersionMax="47" xr10:uidLastSave="{00000000-0000-0000-0000-000000000000}"/>
  <bookViews>
    <workbookView xWindow="-120" yWindow="-120" windowWidth="20730" windowHeight="11160" tabRatio="869" xr2:uid="{0A71D2B8-E8E0-4FA0-97AD-F7E9B604DBA2}"/>
  </bookViews>
  <sheets>
    <sheet name="Données_Brutes" sheetId="1" r:id="rId1"/>
    <sheet name="Table_Mortalité" sheetId="2" r:id="rId2"/>
    <sheet name="Prime_Pure" sheetId="3" r:id="rId3"/>
    <sheet name="Graphiques" sheetId="4" r:id="rId4"/>
    <sheet name="Provisions_Techniques" sheetId="11" r:id="rId5"/>
    <sheet name="Rapport" sheetId="6" r:id="rId6"/>
    <sheet name="Documentation" sheetId="8" r:id="rId7"/>
    <sheet name="Paramètres" sheetId="5" r:id="rId8"/>
    <sheet name="Sensibilité" sheetId="12" state="hidden" r:id="rId9"/>
    <sheet name="Tests" sheetId="10" state="hidden" r:id="rId10"/>
  </sheets>
  <functionGroups builtInGroupCount="19"/>
  <externalReferences>
    <externalReference r:id="rId11"/>
  </externalReferences>
  <definedNames>
    <definedName name="_xlpm.age" hidden="1" xlm="1">#NAME?</definedName>
    <definedName name="_xlpm.ages" hidden="1" xlm="1">#NAME?</definedName>
    <definedName name="_xlpm.C" hidden="1" xlm="1">#NAME?</definedName>
    <definedName name="_xlpm.Cap" hidden="1" xlm="1">#NAME?</definedName>
    <definedName name="_xlpm.coc" hidden="1" xlm="1">#NAME?</definedName>
    <definedName name="_xlpm.dx_t" hidden="1" xlm="1">#NAME?</definedName>
    <definedName name="_xlpm.dx_vec" hidden="1" xlm="1">#NAME?</definedName>
    <definedName name="_xlpm.i" hidden="1" xlm="1">#NAME?</definedName>
    <definedName name="_xlpm.k" hidden="1" xlm="1">#NAME?</definedName>
    <definedName name="_xlpm.lx_n" hidden="1" xlm="1">#NAME?</definedName>
    <definedName name="_xlpm.lx_t" hidden="1" xlm="1">#NAME?</definedName>
    <definedName name="_xlpm.m" hidden="1" xlm="1">#NAME?</definedName>
    <definedName name="_xlpm.n" hidden="1" xlm="1">#NAME?</definedName>
    <definedName name="_xlpm.reserve_deces" hidden="1" xlm="1">#NAME?</definedName>
    <definedName name="_xlpm.reserve_vie" hidden="1" xlm="1">#NAME?</definedName>
    <definedName name="_xlpm.scr_rng" hidden="1" xlm="1">#NAME?</definedName>
    <definedName name="_xlpm.t" hidden="1" xlm="1">#NAME?</definedName>
    <definedName name="_xlpm.type" hidden="1" xlm="1">#NAME?</definedName>
    <definedName name="_xlpm.v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" i="11" l="1"/>
  <c r="I3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18" i="1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4" i="11" a="1"/>
  <c r="C34" i="11" s="1"/>
  <c r="C35" i="11" a="1"/>
  <c r="C35" i="11" s="1"/>
  <c r="C36" i="11" a="1"/>
  <c r="C36" i="11" s="1"/>
  <c r="C37" i="11" a="1"/>
  <c r="C37" i="11" s="1"/>
  <c r="C38" i="11" a="1"/>
  <c r="C38" i="11" s="1"/>
  <c r="C18" i="11" a="1"/>
  <c r="C18" i="11" s="1"/>
  <c r="B17" i="12"/>
  <c r="B4" i="12"/>
  <c r="B5" i="12"/>
  <c r="B14" i="12" s="1"/>
  <c r="B6" i="12"/>
  <c r="B7" i="12"/>
  <c r="C56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E107" i="2"/>
  <c r="D107" i="2"/>
  <c r="B107" i="2"/>
  <c r="C107" i="2" s="1"/>
  <c r="A107" i="2"/>
  <c r="E106" i="2"/>
  <c r="D106" i="2"/>
  <c r="B106" i="2"/>
  <c r="C106" i="2" s="1"/>
  <c r="A106" i="2"/>
  <c r="E105" i="2"/>
  <c r="D105" i="2"/>
  <c r="B105" i="2"/>
  <c r="C105" i="2" s="1"/>
  <c r="A105" i="2"/>
  <c r="E104" i="2"/>
  <c r="D104" i="2"/>
  <c r="B104" i="2"/>
  <c r="C104" i="2" s="1"/>
  <c r="A104" i="2"/>
  <c r="E103" i="2"/>
  <c r="D103" i="2"/>
  <c r="B103" i="2"/>
  <c r="C103" i="2" s="1"/>
  <c r="A103" i="2"/>
  <c r="E102" i="2"/>
  <c r="D102" i="2"/>
  <c r="B102" i="2"/>
  <c r="C102" i="2" s="1"/>
  <c r="A102" i="2"/>
  <c r="E101" i="2"/>
  <c r="D101" i="2"/>
  <c r="B101" i="2"/>
  <c r="C101" i="2" s="1"/>
  <c r="A101" i="2"/>
  <c r="E100" i="2"/>
  <c r="D100" i="2"/>
  <c r="B100" i="2"/>
  <c r="C100" i="2" s="1"/>
  <c r="A100" i="2"/>
  <c r="E99" i="2"/>
  <c r="D99" i="2"/>
  <c r="B99" i="2"/>
  <c r="C99" i="2" s="1"/>
  <c r="A99" i="2"/>
  <c r="E98" i="2"/>
  <c r="D98" i="2"/>
  <c r="B98" i="2"/>
  <c r="C98" i="2" s="1"/>
  <c r="A98" i="2"/>
  <c r="E97" i="2"/>
  <c r="D97" i="2"/>
  <c r="B97" i="2"/>
  <c r="C97" i="2" s="1"/>
  <c r="A97" i="2"/>
  <c r="E96" i="2"/>
  <c r="D96" i="2"/>
  <c r="B96" i="2"/>
  <c r="C96" i="2" s="1"/>
  <c r="A96" i="2"/>
  <c r="E95" i="2"/>
  <c r="D95" i="2"/>
  <c r="B95" i="2"/>
  <c r="C95" i="2" s="1"/>
  <c r="A95" i="2"/>
  <c r="E94" i="2"/>
  <c r="D94" i="2"/>
  <c r="B94" i="2"/>
  <c r="C94" i="2" s="1"/>
  <c r="A94" i="2"/>
  <c r="E93" i="2"/>
  <c r="D93" i="2"/>
  <c r="B93" i="2"/>
  <c r="C93" i="2" s="1"/>
  <c r="A93" i="2"/>
  <c r="E92" i="2"/>
  <c r="D92" i="2"/>
  <c r="C92" i="2"/>
  <c r="B92" i="2"/>
  <c r="A92" i="2"/>
  <c r="E91" i="2"/>
  <c r="D91" i="2"/>
  <c r="C91" i="2"/>
  <c r="B91" i="2"/>
  <c r="A91" i="2"/>
  <c r="E90" i="2"/>
  <c r="D90" i="2"/>
  <c r="C90" i="2"/>
  <c r="B90" i="2"/>
  <c r="A90" i="2"/>
  <c r="E89" i="2"/>
  <c r="D89" i="2"/>
  <c r="C89" i="2"/>
  <c r="B89" i="2"/>
  <c r="A89" i="2"/>
  <c r="E88" i="2"/>
  <c r="D88" i="2"/>
  <c r="C88" i="2"/>
  <c r="B88" i="2"/>
  <c r="A88" i="2"/>
  <c r="E87" i="2"/>
  <c r="D87" i="2"/>
  <c r="C87" i="2"/>
  <c r="B87" i="2"/>
  <c r="A87" i="2"/>
  <c r="E86" i="2"/>
  <c r="D86" i="2"/>
  <c r="C86" i="2"/>
  <c r="B86" i="2"/>
  <c r="A86" i="2"/>
  <c r="E85" i="2"/>
  <c r="D85" i="2"/>
  <c r="C85" i="2"/>
  <c r="B85" i="2"/>
  <c r="A85" i="2"/>
  <c r="E84" i="2"/>
  <c r="D84" i="2"/>
  <c r="C84" i="2"/>
  <c r="B84" i="2"/>
  <c r="A84" i="2"/>
  <c r="E83" i="2"/>
  <c r="D83" i="2"/>
  <c r="C83" i="2"/>
  <c r="B83" i="2"/>
  <c r="A83" i="2"/>
  <c r="E82" i="2"/>
  <c r="D82" i="2"/>
  <c r="C82" i="2"/>
  <c r="B82" i="2"/>
  <c r="A82" i="2"/>
  <c r="E81" i="2"/>
  <c r="D81" i="2"/>
  <c r="C81" i="2"/>
  <c r="B81" i="2"/>
  <c r="A81" i="2"/>
  <c r="E80" i="2"/>
  <c r="D80" i="2"/>
  <c r="C80" i="2"/>
  <c r="B80" i="2"/>
  <c r="A80" i="2"/>
  <c r="E79" i="2"/>
  <c r="D79" i="2"/>
  <c r="C79" i="2"/>
  <c r="B79" i="2"/>
  <c r="A79" i="2"/>
  <c r="E78" i="2"/>
  <c r="D78" i="2"/>
  <c r="C78" i="2"/>
  <c r="B78" i="2"/>
  <c r="A78" i="2"/>
  <c r="E77" i="2"/>
  <c r="D77" i="2"/>
  <c r="C77" i="2"/>
  <c r="B77" i="2"/>
  <c r="A77" i="2"/>
  <c r="E76" i="2"/>
  <c r="D76" i="2"/>
  <c r="C76" i="2"/>
  <c r="B76" i="2"/>
  <c r="A76" i="2"/>
  <c r="E75" i="2"/>
  <c r="D75" i="2"/>
  <c r="C75" i="2"/>
  <c r="B75" i="2"/>
  <c r="A75" i="2"/>
  <c r="E74" i="2"/>
  <c r="D74" i="2"/>
  <c r="C74" i="2"/>
  <c r="B74" i="2"/>
  <c r="A74" i="2"/>
  <c r="E73" i="2"/>
  <c r="D73" i="2"/>
  <c r="C73" i="2"/>
  <c r="B73" i="2"/>
  <c r="A73" i="2"/>
  <c r="E72" i="2"/>
  <c r="D72" i="2"/>
  <c r="C72" i="2"/>
  <c r="B72" i="2"/>
  <c r="A72" i="2"/>
  <c r="E71" i="2"/>
  <c r="D71" i="2"/>
  <c r="C71" i="2"/>
  <c r="B71" i="2"/>
  <c r="A71" i="2"/>
  <c r="E70" i="2"/>
  <c r="D70" i="2"/>
  <c r="C70" i="2"/>
  <c r="B70" i="2"/>
  <c r="A70" i="2"/>
  <c r="E69" i="2"/>
  <c r="D69" i="2"/>
  <c r="C69" i="2"/>
  <c r="B69" i="2"/>
  <c r="A69" i="2"/>
  <c r="E68" i="2"/>
  <c r="D68" i="2"/>
  <c r="C68" i="2"/>
  <c r="B68" i="2"/>
  <c r="A68" i="2"/>
  <c r="E67" i="2"/>
  <c r="D67" i="2"/>
  <c r="C67" i="2"/>
  <c r="B67" i="2"/>
  <c r="A67" i="2"/>
  <c r="E66" i="2"/>
  <c r="D66" i="2"/>
  <c r="C66" i="2"/>
  <c r="B66" i="2"/>
  <c r="A66" i="2"/>
  <c r="E65" i="2"/>
  <c r="D65" i="2"/>
  <c r="C65" i="2"/>
  <c r="B65" i="2"/>
  <c r="A65" i="2"/>
  <c r="E64" i="2"/>
  <c r="D64" i="2"/>
  <c r="C64" i="2"/>
  <c r="B64" i="2"/>
  <c r="A64" i="2"/>
  <c r="E63" i="2"/>
  <c r="D63" i="2"/>
  <c r="C63" i="2"/>
  <c r="B63" i="2"/>
  <c r="A63" i="2"/>
  <c r="E62" i="2"/>
  <c r="D62" i="2"/>
  <c r="C62" i="2"/>
  <c r="B62" i="2"/>
  <c r="A62" i="2"/>
  <c r="E61" i="2"/>
  <c r="D61" i="2"/>
  <c r="C61" i="2"/>
  <c r="B61" i="2"/>
  <c r="A61" i="2"/>
  <c r="E60" i="2"/>
  <c r="D60" i="2"/>
  <c r="C60" i="2"/>
  <c r="B60" i="2"/>
  <c r="A60" i="2"/>
  <c r="E59" i="2"/>
  <c r="D59" i="2"/>
  <c r="C59" i="2"/>
  <c r="B59" i="2"/>
  <c r="A59" i="2"/>
  <c r="E58" i="2"/>
  <c r="D58" i="2"/>
  <c r="C58" i="2"/>
  <c r="B58" i="2"/>
  <c r="A58" i="2"/>
  <c r="E57" i="2"/>
  <c r="D57" i="2"/>
  <c r="C57" i="2"/>
  <c r="B57" i="2"/>
  <c r="A57" i="2"/>
  <c r="E56" i="2"/>
  <c r="D56" i="2"/>
  <c r="C56" i="2"/>
  <c r="B56" i="2"/>
  <c r="A56" i="2"/>
  <c r="E55" i="2"/>
  <c r="D55" i="2"/>
  <c r="C55" i="2"/>
  <c r="B55" i="2"/>
  <c r="A55" i="2"/>
  <c r="E54" i="2"/>
  <c r="D54" i="2"/>
  <c r="C54" i="2"/>
  <c r="B54" i="2"/>
  <c r="A54" i="2"/>
  <c r="E53" i="2"/>
  <c r="D53" i="2"/>
  <c r="C53" i="2"/>
  <c r="B53" i="2"/>
  <c r="A53" i="2"/>
  <c r="E52" i="2"/>
  <c r="D52" i="2"/>
  <c r="C52" i="2"/>
  <c r="B52" i="2"/>
  <c r="A52" i="2"/>
  <c r="E51" i="2"/>
  <c r="D51" i="2"/>
  <c r="C51" i="2"/>
  <c r="B51" i="2"/>
  <c r="A51" i="2"/>
  <c r="E50" i="2"/>
  <c r="D50" i="2"/>
  <c r="C50" i="2"/>
  <c r="B50" i="2"/>
  <c r="A50" i="2"/>
  <c r="E49" i="2"/>
  <c r="D49" i="2"/>
  <c r="C49" i="2"/>
  <c r="B49" i="2"/>
  <c r="A49" i="2"/>
  <c r="E48" i="2"/>
  <c r="D48" i="2"/>
  <c r="C48" i="2"/>
  <c r="B48" i="2"/>
  <c r="A48" i="2"/>
  <c r="E47" i="2"/>
  <c r="D47" i="2"/>
  <c r="C47" i="2"/>
  <c r="B47" i="2"/>
  <c r="A47" i="2"/>
  <c r="E46" i="2"/>
  <c r="D46" i="2"/>
  <c r="C46" i="2"/>
  <c r="B46" i="2"/>
  <c r="A46" i="2"/>
  <c r="E45" i="2"/>
  <c r="D45" i="2"/>
  <c r="C45" i="2"/>
  <c r="B45" i="2"/>
  <c r="A45" i="2"/>
  <c r="E44" i="2"/>
  <c r="D44" i="2"/>
  <c r="C44" i="2"/>
  <c r="B44" i="2"/>
  <c r="A44" i="2"/>
  <c r="E43" i="2"/>
  <c r="D43" i="2"/>
  <c r="C43" i="2"/>
  <c r="B43" i="2"/>
  <c r="A43" i="2"/>
  <c r="E42" i="2"/>
  <c r="D42" i="2"/>
  <c r="C42" i="2"/>
  <c r="B42" i="2"/>
  <c r="A42" i="2"/>
  <c r="E41" i="2"/>
  <c r="D41" i="2"/>
  <c r="C41" i="2"/>
  <c r="B41" i="2"/>
  <c r="A41" i="2"/>
  <c r="E40" i="2"/>
  <c r="D40" i="2"/>
  <c r="C40" i="2"/>
  <c r="B40" i="2"/>
  <c r="A40" i="2"/>
  <c r="E39" i="2"/>
  <c r="D39" i="2"/>
  <c r="C39" i="2"/>
  <c r="B39" i="2"/>
  <c r="A39" i="2"/>
  <c r="E38" i="2"/>
  <c r="D38" i="2"/>
  <c r="C38" i="2"/>
  <c r="B38" i="2"/>
  <c r="A38" i="2"/>
  <c r="E37" i="2"/>
  <c r="D37" i="2"/>
  <c r="C37" i="2"/>
  <c r="B37" i="2"/>
  <c r="A37" i="2"/>
  <c r="E36" i="2"/>
  <c r="D36" i="2"/>
  <c r="F36" i="2" s="1"/>
  <c r="C36" i="2"/>
  <c r="B36" i="2"/>
  <c r="A36" i="2"/>
  <c r="D35" i="2"/>
  <c r="F35" i="2" s="1"/>
  <c r="C35" i="2"/>
  <c r="B35" i="2"/>
  <c r="A35" i="2"/>
  <c r="E34" i="2"/>
  <c r="D34" i="2"/>
  <c r="C34" i="2"/>
  <c r="B34" i="2"/>
  <c r="A34" i="2"/>
  <c r="D33" i="2"/>
  <c r="F33" i="2" s="1"/>
  <c r="C33" i="2"/>
  <c r="B33" i="2"/>
  <c r="A33" i="2"/>
  <c r="E32" i="2"/>
  <c r="D32" i="2"/>
  <c r="C32" i="2"/>
  <c r="B32" i="2"/>
  <c r="A32" i="2"/>
  <c r="D31" i="2"/>
  <c r="F31" i="2" s="1"/>
  <c r="C31" i="2"/>
  <c r="B31" i="2"/>
  <c r="A31" i="2"/>
  <c r="E30" i="2"/>
  <c r="D30" i="2"/>
  <c r="C30" i="2"/>
  <c r="B30" i="2"/>
  <c r="A30" i="2"/>
  <c r="D29" i="2"/>
  <c r="F29" i="2" s="1"/>
  <c r="C29" i="2"/>
  <c r="B29" i="2"/>
  <c r="A29" i="2"/>
  <c r="E28" i="2"/>
  <c r="D28" i="2"/>
  <c r="C28" i="2"/>
  <c r="B28" i="2"/>
  <c r="A28" i="2"/>
  <c r="E27" i="2"/>
  <c r="D27" i="2"/>
  <c r="C27" i="2"/>
  <c r="B27" i="2"/>
  <c r="A27" i="2"/>
  <c r="E26" i="2"/>
  <c r="D26" i="2"/>
  <c r="C26" i="2"/>
  <c r="B26" i="2"/>
  <c r="A26" i="2"/>
  <c r="E25" i="2"/>
  <c r="D25" i="2"/>
  <c r="C25" i="2"/>
  <c r="B25" i="2"/>
  <c r="A25" i="2"/>
  <c r="E24" i="2"/>
  <c r="D24" i="2"/>
  <c r="C24" i="2"/>
  <c r="B24" i="2"/>
  <c r="A24" i="2"/>
  <c r="E23" i="2"/>
  <c r="D23" i="2"/>
  <c r="C23" i="2"/>
  <c r="B23" i="2"/>
  <c r="A23" i="2"/>
  <c r="E22" i="2"/>
  <c r="D22" i="2"/>
  <c r="C22" i="2"/>
  <c r="B22" i="2"/>
  <c r="A22" i="2"/>
  <c r="D21" i="2"/>
  <c r="C21" i="2"/>
  <c r="B21" i="2"/>
  <c r="A21" i="2"/>
  <c r="D20" i="2"/>
  <c r="C20" i="2"/>
  <c r="B20" i="2"/>
  <c r="A20" i="2"/>
  <c r="D19" i="2"/>
  <c r="C19" i="2"/>
  <c r="B19" i="2"/>
  <c r="A19" i="2"/>
  <c r="D18" i="2"/>
  <c r="C18" i="2"/>
  <c r="B18" i="2"/>
  <c r="A18" i="2"/>
  <c r="D17" i="2"/>
  <c r="C17" i="2"/>
  <c r="B17" i="2"/>
  <c r="A17" i="2"/>
  <c r="D16" i="2"/>
  <c r="C16" i="2"/>
  <c r="B16" i="2"/>
  <c r="A16" i="2"/>
  <c r="D15" i="2"/>
  <c r="C15" i="2"/>
  <c r="B15" i="2"/>
  <c r="A15" i="2"/>
  <c r="D14" i="2"/>
  <c r="C14" i="2"/>
  <c r="B14" i="2"/>
  <c r="A14" i="2"/>
  <c r="D13" i="2"/>
  <c r="C13" i="2"/>
  <c r="B13" i="2"/>
  <c r="A13" i="2"/>
  <c r="D12" i="2"/>
  <c r="C12" i="2"/>
  <c r="B12" i="2"/>
  <c r="A12" i="2"/>
  <c r="D11" i="2"/>
  <c r="C11" i="2"/>
  <c r="B11" i="2"/>
  <c r="A11" i="2"/>
  <c r="D10" i="2"/>
  <c r="C10" i="2"/>
  <c r="B10" i="2"/>
  <c r="A10" i="2"/>
  <c r="D9" i="2"/>
  <c r="C9" i="2"/>
  <c r="B9" i="2"/>
  <c r="A9" i="2"/>
  <c r="D8" i="2"/>
  <c r="C8" i="2"/>
  <c r="B8" i="2"/>
  <c r="A8" i="2"/>
  <c r="D7" i="2"/>
  <c r="C7" i="2"/>
  <c r="B7" i="2"/>
  <c r="A7" i="2"/>
  <c r="D6" i="2"/>
  <c r="C6" i="2"/>
  <c r="B6" i="2"/>
  <c r="A6" i="2"/>
  <c r="D5" i="2"/>
  <c r="C5" i="2"/>
  <c r="B5" i="2"/>
  <c r="A5" i="2"/>
  <c r="D4" i="2"/>
  <c r="F4" i="2" s="1"/>
  <c r="C4" i="2"/>
  <c r="B4" i="2"/>
  <c r="A4" i="2"/>
  <c r="D3" i="2"/>
  <c r="C3" i="2"/>
  <c r="B3" i="2"/>
  <c r="A3" i="2"/>
  <c r="D14" i="12" l="1"/>
  <c r="C16" i="12"/>
  <c r="E15" i="12"/>
  <c r="B16" i="12"/>
  <c r="C15" i="12"/>
  <c r="E18" i="12"/>
  <c r="E14" i="12"/>
  <c r="C13" i="12"/>
  <c r="D17" i="12"/>
  <c r="E17" i="12"/>
  <c r="E13" i="12"/>
  <c r="D13" i="12"/>
  <c r="D16" i="12"/>
  <c r="E16" i="12"/>
  <c r="B13" i="12"/>
  <c r="B15" i="12"/>
  <c r="C18" i="12"/>
  <c r="C14" i="12"/>
  <c r="D15" i="12"/>
  <c r="B18" i="12"/>
  <c r="C17" i="12"/>
  <c r="D18" i="12"/>
  <c r="E18" i="11"/>
  <c r="E35" i="11"/>
  <c r="G35" i="11" s="1"/>
  <c r="E31" i="11"/>
  <c r="G31" i="11" s="1"/>
  <c r="E27" i="11"/>
  <c r="G27" i="11" s="1"/>
  <c r="E23" i="11"/>
  <c r="G23" i="11" s="1"/>
  <c r="E19" i="11"/>
  <c r="E36" i="11"/>
  <c r="G36" i="11" s="1"/>
  <c r="E32" i="11"/>
  <c r="E28" i="11"/>
  <c r="G28" i="11" s="1"/>
  <c r="E24" i="11"/>
  <c r="E20" i="11"/>
  <c r="G20" i="11" s="1"/>
  <c r="E37" i="11"/>
  <c r="E33" i="11"/>
  <c r="E29" i="11"/>
  <c r="E25" i="11"/>
  <c r="E21" i="11"/>
  <c r="E38" i="11"/>
  <c r="H38" i="11" s="1"/>
  <c r="E34" i="11"/>
  <c r="G34" i="11" s="1"/>
  <c r="E30" i="11"/>
  <c r="G30" i="11" s="1"/>
  <c r="E26" i="11"/>
  <c r="G26" i="11" s="1"/>
  <c r="E22" i="11"/>
  <c r="G22" i="11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30" i="2"/>
  <c r="E31" i="2"/>
  <c r="F34" i="2"/>
  <c r="E35" i="2"/>
  <c r="F28" i="2"/>
  <c r="E29" i="2"/>
  <c r="F32" i="2"/>
  <c r="E33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G104" i="2" s="1"/>
  <c r="H104" i="2" s="1"/>
  <c r="F105" i="2"/>
  <c r="F106" i="2"/>
  <c r="F107" i="2"/>
  <c r="G107" i="2" s="1"/>
  <c r="H107" i="2" s="1"/>
  <c r="G33" i="11" l="1"/>
  <c r="F17" i="12"/>
  <c r="F18" i="12"/>
  <c r="F13" i="12"/>
  <c r="G19" i="11"/>
  <c r="G18" i="11"/>
  <c r="G38" i="11"/>
  <c r="I37" i="11" s="1"/>
  <c r="F37" i="11" s="1"/>
  <c r="H37" i="11" s="1"/>
  <c r="F15" i="12"/>
  <c r="F14" i="12"/>
  <c r="F16" i="12"/>
  <c r="G37" i="11"/>
  <c r="G21" i="11"/>
  <c r="G32" i="11"/>
  <c r="G24" i="11"/>
  <c r="G29" i="11"/>
  <c r="G25" i="11"/>
  <c r="G96" i="2"/>
  <c r="H96" i="2" s="1"/>
  <c r="G80" i="2"/>
  <c r="H80" i="2" s="1"/>
  <c r="G103" i="2"/>
  <c r="H103" i="2" s="1"/>
  <c r="G91" i="2"/>
  <c r="H91" i="2" s="1"/>
  <c r="G79" i="2"/>
  <c r="H79" i="2" s="1"/>
  <c r="G105" i="2"/>
  <c r="H105" i="2" s="1"/>
  <c r="G101" i="2"/>
  <c r="H101" i="2" s="1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5" i="2"/>
  <c r="H35" i="2" s="1"/>
  <c r="G37" i="2"/>
  <c r="H37" i="2" s="1"/>
  <c r="G31" i="2"/>
  <c r="H31" i="2" s="1"/>
  <c r="G32" i="2"/>
  <c r="H32" i="2" s="1"/>
  <c r="G30" i="2"/>
  <c r="H30" i="2" s="1"/>
  <c r="G25" i="2"/>
  <c r="H25" i="2" s="1"/>
  <c r="G21" i="2"/>
  <c r="H21" i="2" s="1"/>
  <c r="G17" i="2"/>
  <c r="H17" i="2" s="1"/>
  <c r="G13" i="2"/>
  <c r="H13" i="2" s="1"/>
  <c r="G9" i="2"/>
  <c r="H9" i="2" s="1"/>
  <c r="G5" i="2"/>
  <c r="H5" i="2" s="1"/>
  <c r="G29" i="2"/>
  <c r="H29" i="2" s="1"/>
  <c r="G88" i="2"/>
  <c r="H88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4" i="2"/>
  <c r="H34" i="2" s="1"/>
  <c r="G24" i="2"/>
  <c r="H24" i="2" s="1"/>
  <c r="G20" i="2"/>
  <c r="H20" i="2" s="1"/>
  <c r="G16" i="2"/>
  <c r="H16" i="2" s="1"/>
  <c r="G12" i="2"/>
  <c r="H12" i="2" s="1"/>
  <c r="G8" i="2"/>
  <c r="H8" i="2" s="1"/>
  <c r="G3" i="2"/>
  <c r="H3" i="2" s="1"/>
  <c r="G4" i="2"/>
  <c r="H4" i="2" s="1"/>
  <c r="G33" i="2"/>
  <c r="H33" i="2" s="1"/>
  <c r="G84" i="2"/>
  <c r="H84" i="2" s="1"/>
  <c r="G95" i="2"/>
  <c r="H95" i="2" s="1"/>
  <c r="G83" i="2"/>
  <c r="H83" i="2" s="1"/>
  <c r="G71" i="2"/>
  <c r="H71" i="2" s="1"/>
  <c r="G63" i="2"/>
  <c r="H63" i="2" s="1"/>
  <c r="G55" i="2"/>
  <c r="H55" i="2" s="1"/>
  <c r="G51" i="2"/>
  <c r="H51" i="2" s="1"/>
  <c r="G47" i="2"/>
  <c r="H47" i="2" s="1"/>
  <c r="G43" i="2"/>
  <c r="H43" i="2" s="1"/>
  <c r="G39" i="2"/>
  <c r="H39" i="2" s="1"/>
  <c r="G27" i="2"/>
  <c r="H27" i="2" s="1"/>
  <c r="G23" i="2"/>
  <c r="H23" i="2" s="1"/>
  <c r="G19" i="2"/>
  <c r="H19" i="2" s="1"/>
  <c r="G15" i="2"/>
  <c r="H15" i="2" s="1"/>
  <c r="G11" i="2"/>
  <c r="H11" i="2" s="1"/>
  <c r="G7" i="2"/>
  <c r="H7" i="2" s="1"/>
  <c r="G36" i="2"/>
  <c r="H36" i="2" s="1"/>
  <c r="G100" i="2"/>
  <c r="H100" i="2" s="1"/>
  <c r="G92" i="2"/>
  <c r="H92" i="2" s="1"/>
  <c r="G99" i="2"/>
  <c r="H99" i="2" s="1"/>
  <c r="G87" i="2"/>
  <c r="H87" i="2" s="1"/>
  <c r="G75" i="2"/>
  <c r="H75" i="2" s="1"/>
  <c r="G67" i="2"/>
  <c r="H67" i="2" s="1"/>
  <c r="G59" i="2"/>
  <c r="H59" i="2" s="1"/>
  <c r="G106" i="2"/>
  <c r="H106" i="2" s="1"/>
  <c r="G102" i="2"/>
  <c r="H102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28" i="2"/>
  <c r="H28" i="2" s="1"/>
  <c r="G26" i="2"/>
  <c r="H26" i="2" s="1"/>
  <c r="G22" i="2"/>
  <c r="H22" i="2" s="1"/>
  <c r="G18" i="2"/>
  <c r="H18" i="2" s="1"/>
  <c r="G14" i="2"/>
  <c r="H14" i="2" s="1"/>
  <c r="G10" i="2"/>
  <c r="H10" i="2" s="1"/>
  <c r="G6" i="2"/>
  <c r="H6" i="2" s="1"/>
  <c r="I36" i="11" l="1"/>
  <c r="I35" i="11" l="1"/>
  <c r="F36" i="11"/>
  <c r="H36" i="11" s="1"/>
  <c r="I34" i="11" l="1"/>
  <c r="F35" i="11"/>
  <c r="H35" i="11" s="1"/>
  <c r="I33" i="11" l="1"/>
  <c r="F34" i="11"/>
  <c r="H34" i="11" s="1"/>
  <c r="I32" i="11" l="1"/>
  <c r="F33" i="11"/>
  <c r="H33" i="11" s="1"/>
  <c r="I31" i="11" l="1"/>
  <c r="F32" i="11"/>
  <c r="H32" i="11" s="1"/>
  <c r="I30" i="11" l="1"/>
  <c r="F31" i="11"/>
  <c r="H31" i="11" s="1"/>
  <c r="I29" i="11" l="1"/>
  <c r="F30" i="11"/>
  <c r="H30" i="11" s="1"/>
  <c r="I28" i="11" l="1"/>
  <c r="F29" i="11"/>
  <c r="H29" i="11" s="1"/>
  <c r="I27" i="11" l="1"/>
  <c r="F28" i="11"/>
  <c r="H28" i="11" s="1"/>
  <c r="I26" i="11" l="1"/>
  <c r="F27" i="11"/>
  <c r="H27" i="11" s="1"/>
  <c r="I25" i="11" l="1"/>
  <c r="F26" i="11"/>
  <c r="H26" i="11" s="1"/>
  <c r="I24" i="11" l="1"/>
  <c r="F25" i="11"/>
  <c r="H25" i="11" s="1"/>
  <c r="I23" i="11" l="1"/>
  <c r="F24" i="11"/>
  <c r="H24" i="11" s="1"/>
  <c r="I22" i="11" l="1"/>
  <c r="F23" i="11"/>
  <c r="H23" i="11" s="1"/>
  <c r="I21" i="11" l="1"/>
  <c r="F22" i="11"/>
  <c r="H22" i="11" s="1"/>
  <c r="I20" i="11" l="1"/>
  <c r="F21" i="11"/>
  <c r="H21" i="11" s="1"/>
  <c r="I19" i="11" l="1"/>
  <c r="F20" i="11"/>
  <c r="H20" i="11" s="1"/>
  <c r="I18" i="11" l="1"/>
  <c r="F18" i="11" s="1"/>
  <c r="H18" i="11" s="1"/>
  <c r="F19" i="11"/>
  <c r="H19" i="11" s="1"/>
  <c r="G45" i="11" l="1"/>
  <c r="C46" i="11"/>
  <c r="G44" i="11"/>
  <c r="C45" i="11"/>
  <c r="B8" i="12"/>
  <c r="C44" i="11"/>
  <c r="G46" i="11"/>
  <c r="C48" i="11" l="1"/>
  <c r="C52" i="11" l="1"/>
  <c r="C67" i="11"/>
  <c r="C60" i="11"/>
  <c r="D60" i="11" l="1"/>
  <c r="E67" i="11"/>
  <c r="C68" i="11"/>
  <c r="C62" i="11"/>
  <c r="E68" i="11" l="1"/>
  <c r="D6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<sst xmlns="http://schemas.openxmlformats.org/spreadsheetml/2006/main" count="131" uniqueCount="121">
  <si>
    <t>qx_Ensemble</t>
  </si>
  <si>
    <t>qx_Femmes</t>
  </si>
  <si>
    <t>qx_Hommes</t>
  </si>
  <si>
    <t>lx_Ensemble</t>
  </si>
  <si>
    <t>lx_Femmes</t>
  </si>
  <si>
    <t>lx_Hommes</t>
  </si>
  <si>
    <t>ex_Ensemble</t>
  </si>
  <si>
    <t>Source</t>
  </si>
  <si>
    <t>Age</t>
  </si>
  <si>
    <t>INSEE 2025</t>
  </si>
  <si>
    <t>Statut</t>
  </si>
  <si>
    <t>ex_Femmes</t>
  </si>
  <si>
    <t>ex_Hommes</t>
  </si>
  <si>
    <t>Âge</t>
  </si>
  <si>
    <t>TABLE DE MORTALITE - FRANCE METROPOLITAINE 2025</t>
  </si>
  <si>
    <t>qx</t>
  </si>
  <si>
    <t>px</t>
  </si>
  <si>
    <t>lx</t>
  </si>
  <si>
    <t>dx</t>
  </si>
  <si>
    <t>Lx</t>
  </si>
  <si>
    <t>Tx</t>
  </si>
  <si>
    <t>ex</t>
  </si>
  <si>
    <t>CALCULATEUR DE PRIME PURE - ASSURANCE DÉCÈS</t>
  </si>
  <si>
    <t>PARAMÈTRES DE CALCUL</t>
  </si>
  <si>
    <t>Âge du souscripteur :</t>
  </si>
  <si>
    <t>Capital assuré (€) :</t>
  </si>
  <si>
    <t>Taux d'intérêt technique (%) :</t>
  </si>
  <si>
    <t>Durée du contrat (années) :</t>
  </si>
  <si>
    <t>ans</t>
  </si>
  <si>
    <t>€</t>
  </si>
  <si>
    <t>%</t>
  </si>
  <si>
    <t>RÉSULTATS</t>
  </si>
  <si>
    <t>Prime pure annuelle :</t>
  </si>
  <si>
    <t>Prime commerciale (+25%) :</t>
  </si>
  <si>
    <t>Coût total sur la durée :</t>
  </si>
  <si>
    <t>ÉVOLUTION DES PRIMES PAR ÂGE</t>
  </si>
  <si>
    <t>Prime pure (€/an)</t>
  </si>
  <si>
    <t>Prime comm. (€/an)</t>
  </si>
  <si>
    <t>Coût total (€)</t>
  </si>
  <si>
    <t>GRAPHIQUE : PRIME EN FONCTION DE L'ÂGE</t>
  </si>
  <si>
    <t>PROVISIONS TECHNIQUES &amp; SOLVABILITÉ II</t>
  </si>
  <si>
    <t>Analyse réglementaire d'un contrat d'assurance vie</t>
  </si>
  <si>
    <t>PARAMÈTRES DU CONTRAT</t>
  </si>
  <si>
    <t>Âge de l'assuré (x) :</t>
  </si>
  <si>
    <t>Type de contrat :</t>
  </si>
  <si>
    <t>Durée du contrat (n) :</t>
  </si>
  <si>
    <t>Prime unique payée (€) :</t>
  </si>
  <si>
    <t>Taux d'actualisation (%) :</t>
  </si>
  <si>
    <t>Fonds propres initiaux (€) :</t>
  </si>
  <si>
    <t>Décès</t>
  </si>
  <si>
    <t>% annuel</t>
  </si>
  <si>
    <t>ÉVOLUTION DES PROVISIONS TECHNIQUES</t>
  </si>
  <si>
    <t>PROVISIONS BEST ESTIMATE</t>
  </si>
  <si>
    <t>SOLVABILITÉ II</t>
  </si>
  <si>
    <t>Année</t>
  </si>
  <si>
    <t>Provision Totale</t>
  </si>
  <si>
    <t>t</t>
  </si>
  <si>
    <t>x+t</t>
  </si>
  <si>
    <t>Réserve Math (€)</t>
  </si>
  <si>
    <t>PSAP (€)</t>
  </si>
  <si>
    <t>Best Estimate (€)</t>
  </si>
  <si>
    <t>Risk Margin (€)</t>
  </si>
  <si>
    <t>SCR (€)</t>
  </si>
  <si>
    <t>Provision S2 (€)</t>
  </si>
  <si>
    <t>SOLVABILITÉ II - CAPITAL RÉGLEMENTAIRE</t>
  </si>
  <si>
    <t>CAPITAL DE SOLVABILITÉ REQUIS (SCR)</t>
  </si>
  <si>
    <t>Risque de Mortalité</t>
  </si>
  <si>
    <t>SCR_Mort (€) :</t>
  </si>
  <si>
    <t>(Choc +15% mortalité)</t>
  </si>
  <si>
    <t>Risque de Longévité</t>
  </si>
  <si>
    <t>SCR_Long (€) :</t>
  </si>
  <si>
    <t>(Choc -20% mortalité)</t>
  </si>
  <si>
    <t>Risque de Rachat</t>
  </si>
  <si>
    <t>SCR_Rachat (€) :</t>
  </si>
  <si>
    <t>(Rachats massifs 5%)</t>
  </si>
  <si>
    <t>SCR TOTAL (après agrégation)</t>
  </si>
  <si>
    <t>SCR_Total (€) :</t>
  </si>
  <si>
    <t>CAPITAL MINIMUM REQUIS (MCR)</t>
  </si>
  <si>
    <t>MCR (25% du SCR) :</t>
  </si>
  <si>
    <t>FONDS PROPRES DISPONIBLES</t>
  </si>
  <si>
    <t>Fonds propres (€) :</t>
  </si>
  <si>
    <t>RATIOS DE SOLVABILITÉ</t>
  </si>
  <si>
    <t>Ratio SCR (%) :</t>
  </si>
  <si>
    <t>Ratio MCR (%) :</t>
  </si>
  <si>
    <t>Cost of Capital (CoC) (%) :</t>
  </si>
  <si>
    <t>Taux SCR (%) :</t>
  </si>
  <si>
    <t>Mortalité</t>
  </si>
  <si>
    <t>Longévité</t>
  </si>
  <si>
    <t xml:space="preserve"> Rachat</t>
  </si>
  <si>
    <t>Valeur(%)</t>
  </si>
  <si>
    <t>Seuil(%)</t>
  </si>
  <si>
    <t>SCR</t>
  </si>
  <si>
    <t>MCR</t>
  </si>
  <si>
    <t>ANALYSE DE SENSIBILITÉ AU TAUX D'ACTUALISATION</t>
  </si>
  <si>
    <t>Âge de l'assuré :</t>
  </si>
  <si>
    <t>Capital assuré :</t>
  </si>
  <si>
    <t>PARAMÈTRES DE REFERENCE</t>
  </si>
  <si>
    <t>Taux de référence :</t>
  </si>
  <si>
    <t>Prime unique :</t>
  </si>
  <si>
    <t>Provision S2 Année 0 :</t>
  </si>
  <si>
    <t>IMPACT DU TAUX SUR LES PROVISIONS TECHNIQUES</t>
  </si>
  <si>
    <t>Taux (%)</t>
  </si>
  <si>
    <t xml:space="preserve">Prov. Année 0 (€) </t>
  </si>
  <si>
    <t xml:space="preserve">Prov. Année 5 (€) </t>
  </si>
  <si>
    <t xml:space="preserve"> Prov. Année 10 (€) </t>
  </si>
  <si>
    <t xml:space="preserve">Prov. Année 15 (€) </t>
  </si>
  <si>
    <t xml:space="preserve"> Variation moy. (%) </t>
  </si>
  <si>
    <t xml:space="preserve"> Impact estimé SCR</t>
  </si>
  <si>
    <t>PV_Futur_SCR</t>
  </si>
  <si>
    <t>Vie</t>
  </si>
  <si>
    <t>Mixte</t>
  </si>
  <si>
    <t>Type</t>
  </si>
  <si>
    <t>BE</t>
  </si>
  <si>
    <t>RM</t>
  </si>
  <si>
    <t>Provision_S2</t>
  </si>
  <si>
    <t>SCR_Total</t>
  </si>
  <si>
    <t>Mortalite</t>
  </si>
  <si>
    <t>Longevite</t>
  </si>
  <si>
    <t>Rachat</t>
  </si>
  <si>
    <t>Ratio_SCR</t>
  </si>
  <si>
    <t>Ratio_MCR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</si>
</sst>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0"/>
    <numFmt numFmtId="165" formatCode="#,##0\ \€"/>
    <numFmt numFmtId="166" formatCode="#,##0.00\ \€"/>
    <numFmt numFmtId="167" formatCode="0.0%"/>
    <numFmt numFmtId="168" formatCode="#,##0\ &quot;€&quot;"/>
    <numFmt numFmtId="171" formatCode="_-* #,##0_-;\-* #,##0_-;_-* &quot;-&quot;??_-;_-@_-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2" tint="-0.749992370372631"/>
      <name val="Arial Unicode MS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i/>
      <sz val="9"/>
      <color rgb="FF808080"/>
      <name val="Aptos Narrow"/>
      <family val="2"/>
      <scheme val="minor"/>
    </font>
    <font>
      <b/>
      <sz val="11"/>
      <color rgb="FF000000"/>
      <name val="Aptos Narrow"/>
      <family val="2"/>
    </font>
    <font>
      <b/>
      <sz val="11"/>
      <color rgb="FF003366"/>
      <name val="Arial"/>
      <family val="2"/>
    </font>
    <font>
      <b/>
      <sz val="11"/>
      <color rgb="FF0033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theme="3" tint="9.9978637043366805E-2"/>
      </left>
      <right/>
      <top style="medium">
        <color theme="3" tint="9.9978637043366805E-2"/>
      </top>
      <bottom/>
      <diagonal/>
    </border>
    <border>
      <left/>
      <right/>
      <top style="medium">
        <color theme="3" tint="9.9978637043366805E-2"/>
      </top>
      <bottom/>
      <diagonal/>
    </border>
    <border>
      <left/>
      <right style="medium">
        <color theme="3" tint="9.9978637043366805E-2"/>
      </right>
      <top style="medium">
        <color theme="3" tint="9.9978637043366805E-2"/>
      </top>
      <bottom/>
      <diagonal/>
    </border>
    <border>
      <left style="medium">
        <color theme="3" tint="9.9978637043366805E-2"/>
      </left>
      <right/>
      <top/>
      <bottom/>
      <diagonal/>
    </border>
    <border>
      <left/>
      <right style="medium">
        <color theme="3" tint="9.9978637043366805E-2"/>
      </right>
      <top/>
      <bottom/>
      <diagonal/>
    </border>
    <border>
      <left style="medium">
        <color theme="3" tint="9.9978637043366805E-2"/>
      </left>
      <right/>
      <top/>
      <bottom style="medium">
        <color theme="3" tint="9.9978637043366805E-2"/>
      </bottom>
      <diagonal/>
    </border>
    <border>
      <left/>
      <right style="medium">
        <color theme="3" tint="9.9978637043366805E-2"/>
      </right>
      <top/>
      <bottom style="medium">
        <color theme="3" tint="9.9978637043366805E-2"/>
      </bottom>
      <diagonal/>
    </border>
    <border>
      <left style="thin">
        <color theme="3" tint="9.9978637043366805E-2"/>
      </left>
      <right style="thin">
        <color theme="3" tint="9.9978637043366805E-2"/>
      </right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theme="3" tint="9.9978637043366805E-2"/>
      </left>
      <right/>
      <top style="thin">
        <color theme="3" tint="9.9978637043366805E-2"/>
      </top>
      <bottom style="thin">
        <color theme="3" tint="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9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0" fillId="0" borderId="0" xfId="0" applyNumberFormat="1"/>
    <xf numFmtId="3" fontId="3" fillId="0" borderId="0" xfId="0" applyNumberFormat="1" applyFont="1" applyAlignment="1">
      <alignment vertical="center" wrapText="1"/>
    </xf>
    <xf numFmtId="3" fontId="0" fillId="0" borderId="0" xfId="0" applyNumberFormat="1"/>
    <xf numFmtId="2" fontId="3" fillId="0" borderId="0" xfId="0" applyNumberFormat="1" applyFont="1" applyAlignment="1">
      <alignment vertical="center" wrapText="1"/>
    </xf>
    <xf numFmtId="2" fontId="0" fillId="0" borderId="0" xfId="0" applyNumberFormat="1"/>
    <xf numFmtId="0" fontId="5" fillId="3" borderId="1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3" fontId="0" fillId="0" borderId="1" xfId="0" applyNumberFormat="1" applyBorder="1"/>
    <xf numFmtId="2" fontId="0" fillId="0" borderId="1" xfId="0" applyNumberFormat="1" applyBorder="1"/>
    <xf numFmtId="1" fontId="0" fillId="0" borderId="0" xfId="0" applyNumberFormat="1"/>
    <xf numFmtId="1" fontId="0" fillId="3" borderId="1" xfId="0" applyNumberFormat="1" applyFill="1" applyBorder="1"/>
    <xf numFmtId="165" fontId="0" fillId="3" borderId="1" xfId="0" applyNumberFormat="1" applyFill="1" applyBorder="1"/>
    <xf numFmtId="10" fontId="0" fillId="3" borderId="1" xfId="0" applyNumberFormat="1" applyFill="1" applyBorder="1"/>
    <xf numFmtId="0" fontId="5" fillId="0" borderId="1" xfId="0" applyFont="1" applyBorder="1"/>
    <xf numFmtId="166" fontId="0" fillId="7" borderId="1" xfId="0" applyNumberFormat="1" applyFill="1" applyBorder="1"/>
    <xf numFmtId="0" fontId="9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/>
    <xf numFmtId="0" fontId="0" fillId="8" borderId="1" xfId="0" applyFill="1" applyBorder="1" applyAlignment="1">
      <alignment horizontal="center"/>
    </xf>
    <xf numFmtId="166" fontId="0" fillId="8" borderId="1" xfId="0" applyNumberFormat="1" applyFill="1" applyBorder="1"/>
    <xf numFmtId="0" fontId="0" fillId="0" borderId="2" xfId="0" applyBorder="1"/>
    <xf numFmtId="0" fontId="5" fillId="0" borderId="0" xfId="0" applyFont="1"/>
    <xf numFmtId="0" fontId="5" fillId="0" borderId="0" xfId="0" applyFont="1" applyAlignment="1">
      <alignment horizontal="right"/>
    </xf>
    <xf numFmtId="0" fontId="0" fillId="12" borderId="1" xfId="0" applyFill="1" applyBorder="1" applyAlignment="1">
      <alignment horizontal="center"/>
    </xf>
    <xf numFmtId="3" fontId="0" fillId="12" borderId="1" xfId="0" applyNumberFormat="1" applyFill="1" applyBorder="1" applyAlignment="1">
      <alignment horizontal="center"/>
    </xf>
    <xf numFmtId="167" fontId="0" fillId="12" borderId="1" xfId="0" applyNumberFormat="1" applyFill="1" applyBorder="1" applyAlignment="1">
      <alignment horizontal="center"/>
    </xf>
    <xf numFmtId="0" fontId="13" fillId="0" borderId="0" xfId="0" applyFont="1"/>
    <xf numFmtId="0" fontId="0" fillId="0" borderId="4" xfId="0" applyBorder="1"/>
    <xf numFmtId="0" fontId="9" fillId="14" borderId="0" xfId="0" applyFont="1" applyFill="1" applyAlignment="1">
      <alignment horizontal="center" vertical="center"/>
    </xf>
    <xf numFmtId="0" fontId="9" fillId="1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0" fontId="5" fillId="17" borderId="0" xfId="0" applyFont="1" applyFill="1"/>
    <xf numFmtId="0" fontId="10" fillId="0" borderId="0" xfId="0" applyFont="1" applyAlignment="1">
      <alignment horizontal="right"/>
    </xf>
    <xf numFmtId="3" fontId="5" fillId="12" borderId="5" xfId="0" applyNumberFormat="1" applyFont="1" applyFill="1" applyBorder="1" applyAlignment="1">
      <alignment horizontal="center"/>
    </xf>
    <xf numFmtId="167" fontId="8" fillId="12" borderId="6" xfId="0" applyNumberFormat="1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167" fontId="0" fillId="0" borderId="4" xfId="0" applyNumberFormat="1" applyBorder="1"/>
    <xf numFmtId="0" fontId="16" fillId="0" borderId="0" xfId="0" applyFont="1"/>
    <xf numFmtId="1" fontId="0" fillId="0" borderId="0" xfId="0" quotePrefix="1" applyNumberFormat="1"/>
    <xf numFmtId="1" fontId="0" fillId="21" borderId="0" xfId="0" applyNumberFormat="1" applyFill="1"/>
    <xf numFmtId="0" fontId="0" fillId="0" borderId="14" xfId="0" applyBorder="1"/>
    <xf numFmtId="167" fontId="0" fillId="0" borderId="14" xfId="1" applyNumberFormat="1" applyFont="1" applyFill="1" applyBorder="1"/>
    <xf numFmtId="9" fontId="0" fillId="0" borderId="14" xfId="1" applyFont="1" applyFill="1" applyBorder="1"/>
    <xf numFmtId="0" fontId="0" fillId="0" borderId="15" xfId="0" applyBorder="1"/>
    <xf numFmtId="167" fontId="0" fillId="0" borderId="0" xfId="1" applyNumberFormat="1" applyFont="1"/>
    <xf numFmtId="168" fontId="0" fillId="0" borderId="0" xfId="0" applyNumberFormat="1"/>
    <xf numFmtId="0" fontId="0" fillId="7" borderId="0" xfId="0" applyFill="1"/>
    <xf numFmtId="168" fontId="0" fillId="7" borderId="0" xfId="0" applyNumberFormat="1" applyFill="1"/>
    <xf numFmtId="9" fontId="0" fillId="7" borderId="0" xfId="1" applyFont="1" applyFill="1"/>
    <xf numFmtId="0" fontId="0" fillId="0" borderId="7" xfId="0" applyBorder="1"/>
    <xf numFmtId="0" fontId="11" fillId="0" borderId="8" xfId="0" applyFont="1" applyBorder="1"/>
    <xf numFmtId="0" fontId="11" fillId="0" borderId="9" xfId="0" applyFont="1" applyBorder="1"/>
    <xf numFmtId="167" fontId="0" fillId="0" borderId="10" xfId="1" applyNumberFormat="1" applyFont="1" applyBorder="1"/>
    <xf numFmtId="0" fontId="0" fillId="0" borderId="11" xfId="0" applyBorder="1"/>
    <xf numFmtId="167" fontId="0" fillId="0" borderId="12" xfId="1" applyNumberFormat="1" applyFont="1" applyBorder="1"/>
    <xf numFmtId="0" fontId="0" fillId="0" borderId="13" xfId="0" applyBorder="1"/>
    <xf numFmtId="10" fontId="0" fillId="0" borderId="0" xfId="1" applyNumberFormat="1" applyFont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166" fontId="0" fillId="0" borderId="16" xfId="0" applyNumberFormat="1" applyBorder="1"/>
    <xf numFmtId="0" fontId="0" fillId="8" borderId="0" xfId="0" applyFill="1" applyAlignment="1">
      <alignment horizontal="center"/>
    </xf>
    <xf numFmtId="166" fontId="0" fillId="8" borderId="0" xfId="0" applyNumberFormat="1" applyFill="1"/>
    <xf numFmtId="166" fontId="0" fillId="0" borderId="0" xfId="0" applyNumberFormat="1"/>
    <xf numFmtId="0" fontId="6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8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16" borderId="0" xfId="0" applyFont="1" applyFill="1" applyAlignment="1">
      <alignment horizontal="left"/>
    </xf>
    <xf numFmtId="0" fontId="5" fillId="10" borderId="0" xfId="0" applyFont="1" applyFill="1" applyAlignment="1">
      <alignment horizontal="left"/>
    </xf>
    <xf numFmtId="0" fontId="5" fillId="18" borderId="0" xfId="0" applyFont="1" applyFill="1" applyAlignment="1">
      <alignment horizontal="left"/>
    </xf>
    <xf numFmtId="0" fontId="5" fillId="19" borderId="0" xfId="0" applyFont="1" applyFill="1" applyAlignment="1">
      <alignment horizontal="left"/>
    </xf>
    <xf numFmtId="0" fontId="5" fillId="20" borderId="0" xfId="0" applyFont="1" applyFill="1" applyAlignment="1">
      <alignment horizontal="left"/>
    </xf>
    <xf numFmtId="0" fontId="7" fillId="9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/>
    </xf>
    <xf numFmtId="0" fontId="8" fillId="11" borderId="3" xfId="0" applyFont="1" applyFill="1" applyBorder="1" applyAlignment="1">
      <alignment horizontal="left"/>
    </xf>
    <xf numFmtId="0" fontId="8" fillId="13" borderId="0" xfId="0" applyFont="1" applyFill="1" applyAlignment="1">
      <alignment horizontal="left"/>
    </xf>
    <xf numFmtId="0" fontId="9" fillId="14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/>
    </xf>
    <xf numFmtId="0" fontId="5" fillId="23" borderId="0" xfId="0" applyFont="1" applyFill="1" applyAlignment="1">
      <alignment horizontal="center"/>
    </xf>
    <xf numFmtId="171" fontId="0" fillId="0" borderId="1" xfId="2" applyNumberFormat="1" applyFont="1" applyBorder="1"/>
  </cellXfs>
  <cellStyles count="3">
    <cellStyle name="Milliers" xfId="2" builtinId="3"/>
    <cellStyle name="Normal" xfId="0" builtinId="0"/>
    <cellStyle name="Pourcentage" xfId="1" builtinId="5"/>
  </cellStyles>
  <dxfs count="5">
    <dxf>
      <font>
        <color rgb="FF8B0000"/>
      </font>
      <fill>
        <patternFill>
          <bgColor rgb="FFFF6347"/>
        </patternFill>
      </fill>
    </dxf>
    <dxf>
      <font>
        <color rgb="FF006400"/>
      </font>
      <fill>
        <patternFill>
          <bgColor rgb="FF90EE90"/>
        </patternFill>
      </fill>
    </dxf>
    <dxf>
      <font>
        <color rgb="FF8B0000"/>
      </font>
      <fill>
        <patternFill>
          <bgColor rgb="FFFF6347"/>
        </patternFill>
      </fill>
    </dxf>
    <dxf>
      <font>
        <color rgb="FF8B4500"/>
      </font>
      <fill>
        <patternFill>
          <bgColor rgb="FFFFA500"/>
        </patternFill>
      </fill>
    </dxf>
    <dxf>
      <font>
        <color rgb="FF006400"/>
      </font>
      <fill>
        <patternFill>
          <bgColor rgb="FF90EE9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Évolution de la prime commerciale par âge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Prime_Pure!$G$5</c:f>
              <c:strCache>
                <c:ptCount val="1"/>
                <c:pt idx="0">
                  <c:v>Prime pure (€/an)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Prime_Pure!$F$6:$F$61</c:f>
              <c:numCache>
                <c:formatCode>General</c:formatCode>
                <c:ptCount val="5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</c:numCache>
            </c:numRef>
          </c:xVal>
          <c:yVal>
            <c:numRef>
              <c:f>Prime_Pure!$G$6:$G$61</c:f>
              <c:numCache>
                <c:formatCode>#\ ##0.00\ \€</c:formatCode>
                <c:ptCount val="56"/>
                <c:pt idx="0">
                  <c:v>81.67439594599216</c:v>
                </c:pt>
                <c:pt idx="1">
                  <c:v>87.837313253242499</c:v>
                </c:pt>
                <c:pt idx="2">
                  <c:v>94.55978050049913</c:v>
                </c:pt>
                <c:pt idx="3">
                  <c:v>102.15597997807984</c:v>
                </c:pt>
                <c:pt idx="4">
                  <c:v>110.59371948048732</c:v>
                </c:pt>
                <c:pt idx="5">
                  <c:v>119.81968979090324</c:v>
                </c:pt>
                <c:pt idx="6">
                  <c:v>130.03773765377144</c:v>
                </c:pt>
                <c:pt idx="7">
                  <c:v>141.26506779564275</c:v>
                </c:pt>
                <c:pt idx="8">
                  <c:v>153.61589743166755</c:v>
                </c:pt>
                <c:pt idx="9">
                  <c:v>166.95091515708853</c:v>
                </c:pt>
                <c:pt idx="10">
                  <c:v>181.36813294434455</c:v>
                </c:pt>
                <c:pt idx="11">
                  <c:v>197.17537036292106</c:v>
                </c:pt>
                <c:pt idx="12">
                  <c:v>214.41943169301734</c:v>
                </c:pt>
                <c:pt idx="13">
                  <c:v>233.57966928363342</c:v>
                </c:pt>
                <c:pt idx="14">
                  <c:v>254.44072980854943</c:v>
                </c:pt>
                <c:pt idx="15">
                  <c:v>277.06977250430975</c:v>
                </c:pt>
                <c:pt idx="16">
                  <c:v>301.47299788104505</c:v>
                </c:pt>
                <c:pt idx="17">
                  <c:v>327.90284920189038</c:v>
                </c:pt>
                <c:pt idx="18">
                  <c:v>356.0049624942647</c:v>
                </c:pt>
                <c:pt idx="19">
                  <c:v>386.47918548923093</c:v>
                </c:pt>
                <c:pt idx="20">
                  <c:v>419.04255938770171</c:v>
                </c:pt>
                <c:pt idx="21">
                  <c:v>454.19246163762466</c:v>
                </c:pt>
                <c:pt idx="22">
                  <c:v>491.71910248513478</c:v>
                </c:pt>
                <c:pt idx="23">
                  <c:v>532.18162133752719</c:v>
                </c:pt>
                <c:pt idx="24">
                  <c:v>575.66024981075327</c:v>
                </c:pt>
                <c:pt idx="25">
                  <c:v>622.37939191361431</c:v>
                </c:pt>
                <c:pt idx="26">
                  <c:v>672.30864653414631</c:v>
                </c:pt>
                <c:pt idx="27">
                  <c:v>727.06556003716764</c:v>
                </c:pt>
                <c:pt idx="28">
                  <c:v>786.69756260575366</c:v>
                </c:pt>
                <c:pt idx="29">
                  <c:v>852.00004538370854</c:v>
                </c:pt>
                <c:pt idx="30">
                  <c:v>923.06614940902239</c:v>
                </c:pt>
                <c:pt idx="31">
                  <c:v>1000.4830298120628</c:v>
                </c:pt>
                <c:pt idx="32">
                  <c:v>1085.7189700744348</c:v>
                </c:pt>
                <c:pt idx="33">
                  <c:v>1179.6690080469496</c:v>
                </c:pt>
                <c:pt idx="34">
                  <c:v>1283.33347833485</c:v>
                </c:pt>
                <c:pt idx="35">
                  <c:v>1399.560670128144</c:v>
                </c:pt>
                <c:pt idx="36">
                  <c:v>1527.5749044073762</c:v>
                </c:pt>
                <c:pt idx="37">
                  <c:v>1668.0853106613256</c:v>
                </c:pt>
                <c:pt idx="38">
                  <c:v>1821.5847320106934</c:v>
                </c:pt>
                <c:pt idx="39">
                  <c:v>1988.6760234633421</c:v>
                </c:pt>
                <c:pt idx="40">
                  <c:v>2171.5413106065794</c:v>
                </c:pt>
                <c:pt idx="41">
                  <c:v>2369.0279054650237</c:v>
                </c:pt>
                <c:pt idx="42">
                  <c:v>2580.0313156943257</c:v>
                </c:pt>
                <c:pt idx="43">
                  <c:v>2803.1314582623363</c:v>
                </c:pt>
                <c:pt idx="44">
                  <c:v>3036.7448676971189</c:v>
                </c:pt>
                <c:pt idx="45">
                  <c:v>3280.8378217061681</c:v>
                </c:pt>
                <c:pt idx="46">
                  <c:v>3532.939790758965</c:v>
                </c:pt>
                <c:pt idx="47">
                  <c:v>3789.9952336413039</c:v>
                </c:pt>
                <c:pt idx="48">
                  <c:v>4051.9164882850041</c:v>
                </c:pt>
                <c:pt idx="49">
                  <c:v>4318.0155125691008</c:v>
                </c:pt>
                <c:pt idx="50">
                  <c:v>4588.3592251397758</c:v>
                </c:pt>
                <c:pt idx="51">
                  <c:v>4866.3883248239972</c:v>
                </c:pt>
                <c:pt idx="52">
                  <c:v>5153.8678935751122</c:v>
                </c:pt>
                <c:pt idx="53">
                  <c:v>5454.5994919552058</c:v>
                </c:pt>
                <c:pt idx="54">
                  <c:v>5774.2648192551615</c:v>
                </c:pt>
                <c:pt idx="55">
                  <c:v>6116.1713613362472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D-492C-9486-F62126D654BB}"/>
            </c:ext>
          </c:extLst>
        </c:ser>
        <c:ser>
          <c:idx val="1"/>
          <c:order val="1"/>
          <c:tx>
            <c:strRef>
              <c:f>Prime_Pure!$H$5</c:f>
              <c:strCache>
                <c:ptCount val="1"/>
                <c:pt idx="0">
                  <c:v>Prime comm. (€/an)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Prime_Pure!$F$6:$F$61</c:f>
              <c:numCache>
                <c:formatCode>General</c:formatCode>
                <c:ptCount val="56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</c:numCache>
            </c:numRef>
          </c:xVal>
          <c:yVal>
            <c:numRef>
              <c:f>Prime_Pure!$H$6:$H$61</c:f>
              <c:numCache>
                <c:formatCode>#\ ##0.00\ \€</c:formatCode>
                <c:ptCount val="56"/>
                <c:pt idx="0">
                  <c:v>102.0929949324902</c:v>
                </c:pt>
                <c:pt idx="1">
                  <c:v>109.79664156655312</c:v>
                </c:pt>
                <c:pt idx="2">
                  <c:v>118.19972562562391</c:v>
                </c:pt>
                <c:pt idx="3">
                  <c:v>127.69497497259979</c:v>
                </c:pt>
                <c:pt idx="4">
                  <c:v>138.24214935060917</c:v>
                </c:pt>
                <c:pt idx="5">
                  <c:v>149.77461223862906</c:v>
                </c:pt>
                <c:pt idx="6">
                  <c:v>162.54717206721432</c:v>
                </c:pt>
                <c:pt idx="7">
                  <c:v>176.58133474455343</c:v>
                </c:pt>
                <c:pt idx="8">
                  <c:v>192.01987178958444</c:v>
                </c:pt>
                <c:pt idx="9">
                  <c:v>208.68864394636066</c:v>
                </c:pt>
                <c:pt idx="10">
                  <c:v>226.71016618043069</c:v>
                </c:pt>
                <c:pt idx="11">
                  <c:v>246.46921295365132</c:v>
                </c:pt>
                <c:pt idx="12">
                  <c:v>268.02428961627169</c:v>
                </c:pt>
                <c:pt idx="13">
                  <c:v>291.9745866045418</c:v>
                </c:pt>
                <c:pt idx="14">
                  <c:v>318.0509122606868</c:v>
                </c:pt>
                <c:pt idx="15">
                  <c:v>346.33721563038716</c:v>
                </c:pt>
                <c:pt idx="16">
                  <c:v>376.84124735130632</c:v>
                </c:pt>
                <c:pt idx="17">
                  <c:v>409.87856150236297</c:v>
                </c:pt>
                <c:pt idx="18">
                  <c:v>445.00620311783086</c:v>
                </c:pt>
                <c:pt idx="19">
                  <c:v>483.09898186153868</c:v>
                </c:pt>
                <c:pt idx="20">
                  <c:v>523.80319923462719</c:v>
                </c:pt>
                <c:pt idx="21">
                  <c:v>567.7405770470308</c:v>
                </c:pt>
                <c:pt idx="22">
                  <c:v>614.64887810641846</c:v>
                </c:pt>
                <c:pt idx="23">
                  <c:v>665.22702667190902</c:v>
                </c:pt>
                <c:pt idx="24">
                  <c:v>719.57531226344156</c:v>
                </c:pt>
                <c:pt idx="25">
                  <c:v>777.97423989201786</c:v>
                </c:pt>
                <c:pt idx="26">
                  <c:v>840.38580816768285</c:v>
                </c:pt>
                <c:pt idx="27">
                  <c:v>908.8319500464595</c:v>
                </c:pt>
                <c:pt idx="28">
                  <c:v>983.3719532571921</c:v>
                </c:pt>
                <c:pt idx="29">
                  <c:v>1065.0000567296356</c:v>
                </c:pt>
                <c:pt idx="30">
                  <c:v>1153.832686761278</c:v>
                </c:pt>
                <c:pt idx="31">
                  <c:v>1250.6037872650786</c:v>
                </c:pt>
                <c:pt idx="32">
                  <c:v>1357.1487125930435</c:v>
                </c:pt>
                <c:pt idx="33">
                  <c:v>1474.586260058687</c:v>
                </c:pt>
                <c:pt idx="34">
                  <c:v>1604.1668479185626</c:v>
                </c:pt>
                <c:pt idx="35">
                  <c:v>1749.45083766018</c:v>
                </c:pt>
                <c:pt idx="36">
                  <c:v>1909.4686305092202</c:v>
                </c:pt>
                <c:pt idx="37">
                  <c:v>2085.106638326657</c:v>
                </c:pt>
                <c:pt idx="38">
                  <c:v>2276.9809150133669</c:v>
                </c:pt>
                <c:pt idx="39">
                  <c:v>2485.8450293291776</c:v>
                </c:pt>
                <c:pt idx="40">
                  <c:v>2714.4266382582241</c:v>
                </c:pt>
                <c:pt idx="41">
                  <c:v>2961.2848818312796</c:v>
                </c:pt>
                <c:pt idx="42">
                  <c:v>3225.0391446179074</c:v>
                </c:pt>
                <c:pt idx="43">
                  <c:v>3503.9143228279204</c:v>
                </c:pt>
                <c:pt idx="44">
                  <c:v>3795.9310846213984</c:v>
                </c:pt>
                <c:pt idx="45">
                  <c:v>4101.0472771327104</c:v>
                </c:pt>
                <c:pt idx="46">
                  <c:v>4416.1747384487062</c:v>
                </c:pt>
                <c:pt idx="47">
                  <c:v>4737.4940420516295</c:v>
                </c:pt>
                <c:pt idx="48">
                  <c:v>5064.895610356255</c:v>
                </c:pt>
                <c:pt idx="49">
                  <c:v>5397.5193907113762</c:v>
                </c:pt>
                <c:pt idx="50">
                  <c:v>5735.4490314247196</c:v>
                </c:pt>
                <c:pt idx="51">
                  <c:v>6082.9854060299967</c:v>
                </c:pt>
                <c:pt idx="52">
                  <c:v>6442.3348669688903</c:v>
                </c:pt>
                <c:pt idx="53">
                  <c:v>6818.2493649440075</c:v>
                </c:pt>
                <c:pt idx="54">
                  <c:v>7217.8310240689516</c:v>
                </c:pt>
                <c:pt idx="55">
                  <c:v>7645.2142016703092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CD-492C-9486-F62126D65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984319"/>
        <c:axId val="1584992959"/>
      </c:scatterChart>
      <c:valAx>
        <c:axId val="158498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992959"/>
        <c:crosses val="autoZero"/>
        <c:crossBetween val="midCat"/>
      </c:valAx>
      <c:valAx>
        <c:axId val="158499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\€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98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Courbe de survie (lx) - France 2025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Survivants (lx)</c:v>
          </c:tx>
          <c:spPr>
            <a:ln w="317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Table_Mortalité!$D$3:$D$107</c:f>
              <c:numCache>
                <c:formatCode>#,##0</c:formatCode>
                <c:ptCount val="105"/>
                <c:pt idx="0">
                  <c:v>100000</c:v>
                </c:pt>
                <c:pt idx="1">
                  <c:v>99609</c:v>
                </c:pt>
                <c:pt idx="2">
                  <c:v>99583</c:v>
                </c:pt>
                <c:pt idx="3">
                  <c:v>99566</c:v>
                </c:pt>
                <c:pt idx="4">
                  <c:v>99554</c:v>
                </c:pt>
                <c:pt idx="5">
                  <c:v>99543</c:v>
                </c:pt>
                <c:pt idx="6">
                  <c:v>99534</c:v>
                </c:pt>
                <c:pt idx="7">
                  <c:v>99526</c:v>
                </c:pt>
                <c:pt idx="8">
                  <c:v>99519</c:v>
                </c:pt>
                <c:pt idx="9">
                  <c:v>99512</c:v>
                </c:pt>
                <c:pt idx="10">
                  <c:v>99505</c:v>
                </c:pt>
                <c:pt idx="11">
                  <c:v>99498</c:v>
                </c:pt>
                <c:pt idx="12">
                  <c:v>99491</c:v>
                </c:pt>
                <c:pt idx="13">
                  <c:v>99484</c:v>
                </c:pt>
                <c:pt idx="14">
                  <c:v>99473</c:v>
                </c:pt>
                <c:pt idx="15">
                  <c:v>99461</c:v>
                </c:pt>
                <c:pt idx="16">
                  <c:v>99446</c:v>
                </c:pt>
                <c:pt idx="17">
                  <c:v>99426</c:v>
                </c:pt>
                <c:pt idx="18">
                  <c:v>99404</c:v>
                </c:pt>
                <c:pt idx="19">
                  <c:v>99374</c:v>
                </c:pt>
                <c:pt idx="20">
                  <c:v>99339</c:v>
                </c:pt>
                <c:pt idx="21">
                  <c:v>99301</c:v>
                </c:pt>
                <c:pt idx="22">
                  <c:v>99262</c:v>
                </c:pt>
                <c:pt idx="23">
                  <c:v>99222</c:v>
                </c:pt>
                <c:pt idx="24">
                  <c:v>99182</c:v>
                </c:pt>
                <c:pt idx="25">
                  <c:v>99142</c:v>
                </c:pt>
                <c:pt idx="26">
                  <c:v>99100</c:v>
                </c:pt>
                <c:pt idx="27">
                  <c:v>99057</c:v>
                </c:pt>
                <c:pt idx="28">
                  <c:v>99012</c:v>
                </c:pt>
                <c:pt idx="29">
                  <c:v>98963</c:v>
                </c:pt>
                <c:pt idx="30">
                  <c:v>98915</c:v>
                </c:pt>
                <c:pt idx="31">
                  <c:v>98863</c:v>
                </c:pt>
                <c:pt idx="32">
                  <c:v>98808</c:v>
                </c:pt>
                <c:pt idx="33">
                  <c:v>98753</c:v>
                </c:pt>
                <c:pt idx="34">
                  <c:v>98692</c:v>
                </c:pt>
                <c:pt idx="35">
                  <c:v>98628</c:v>
                </c:pt>
                <c:pt idx="36">
                  <c:v>98557</c:v>
                </c:pt>
                <c:pt idx="37">
                  <c:v>98480</c:v>
                </c:pt>
                <c:pt idx="38">
                  <c:v>98396</c:v>
                </c:pt>
                <c:pt idx="39">
                  <c:v>98306</c:v>
                </c:pt>
                <c:pt idx="40">
                  <c:v>98207</c:v>
                </c:pt>
                <c:pt idx="41">
                  <c:v>98101</c:v>
                </c:pt>
                <c:pt idx="42">
                  <c:v>97985</c:v>
                </c:pt>
                <c:pt idx="43">
                  <c:v>97862</c:v>
                </c:pt>
                <c:pt idx="44">
                  <c:v>97730</c:v>
                </c:pt>
                <c:pt idx="45">
                  <c:v>97587</c:v>
                </c:pt>
                <c:pt idx="46">
                  <c:v>97428</c:v>
                </c:pt>
                <c:pt idx="47">
                  <c:v>97259</c:v>
                </c:pt>
                <c:pt idx="48">
                  <c:v>97077</c:v>
                </c:pt>
                <c:pt idx="49">
                  <c:v>96876</c:v>
                </c:pt>
                <c:pt idx="50">
                  <c:v>96653</c:v>
                </c:pt>
                <c:pt idx="51">
                  <c:v>96404</c:v>
                </c:pt>
                <c:pt idx="52">
                  <c:v>96136</c:v>
                </c:pt>
                <c:pt idx="53">
                  <c:v>95838</c:v>
                </c:pt>
                <c:pt idx="54">
                  <c:v>95513</c:v>
                </c:pt>
                <c:pt idx="55">
                  <c:v>95162</c:v>
                </c:pt>
                <c:pt idx="56">
                  <c:v>94779</c:v>
                </c:pt>
                <c:pt idx="57">
                  <c:v>94363</c:v>
                </c:pt>
                <c:pt idx="58">
                  <c:v>93909</c:v>
                </c:pt>
                <c:pt idx="59">
                  <c:v>93419</c:v>
                </c:pt>
                <c:pt idx="60">
                  <c:v>92901</c:v>
                </c:pt>
                <c:pt idx="61">
                  <c:v>92336</c:v>
                </c:pt>
                <c:pt idx="62">
                  <c:v>91723</c:v>
                </c:pt>
                <c:pt idx="63">
                  <c:v>91053</c:v>
                </c:pt>
                <c:pt idx="64">
                  <c:v>90324</c:v>
                </c:pt>
                <c:pt idx="65">
                  <c:v>89542</c:v>
                </c:pt>
                <c:pt idx="66">
                  <c:v>88704</c:v>
                </c:pt>
                <c:pt idx="67">
                  <c:v>87801</c:v>
                </c:pt>
                <c:pt idx="68">
                  <c:v>86848</c:v>
                </c:pt>
                <c:pt idx="69">
                  <c:v>85826</c:v>
                </c:pt>
                <c:pt idx="70">
                  <c:v>84742</c:v>
                </c:pt>
                <c:pt idx="71">
                  <c:v>83586</c:v>
                </c:pt>
                <c:pt idx="72">
                  <c:v>82364</c:v>
                </c:pt>
                <c:pt idx="73">
                  <c:v>81063</c:v>
                </c:pt>
                <c:pt idx="74">
                  <c:v>79685</c:v>
                </c:pt>
                <c:pt idx="75">
                  <c:v>78224</c:v>
                </c:pt>
                <c:pt idx="76">
                  <c:v>76677</c:v>
                </c:pt>
                <c:pt idx="77">
                  <c:v>75003</c:v>
                </c:pt>
                <c:pt idx="78">
                  <c:v>73204</c:v>
                </c:pt>
                <c:pt idx="79">
                  <c:v>71252</c:v>
                </c:pt>
                <c:pt idx="80">
                  <c:v>69151</c:v>
                </c:pt>
                <c:pt idx="81">
                  <c:v>66890</c:v>
                </c:pt>
                <c:pt idx="82">
                  <c:v>64442</c:v>
                </c:pt>
                <c:pt idx="83">
                  <c:v>61780</c:v>
                </c:pt>
                <c:pt idx="84">
                  <c:v>58900</c:v>
                </c:pt>
                <c:pt idx="85">
                  <c:v>55733</c:v>
                </c:pt>
                <c:pt idx="86">
                  <c:v>52331</c:v>
                </c:pt>
                <c:pt idx="87">
                  <c:v>48712</c:v>
                </c:pt>
                <c:pt idx="88">
                  <c:v>44894</c:v>
                </c:pt>
                <c:pt idx="89">
                  <c:v>40908</c:v>
                </c:pt>
                <c:pt idx="90">
                  <c:v>36753</c:v>
                </c:pt>
                <c:pt idx="91">
                  <c:v>32495</c:v>
                </c:pt>
                <c:pt idx="92">
                  <c:v>28228</c:v>
                </c:pt>
                <c:pt idx="93">
                  <c:v>24037</c:v>
                </c:pt>
                <c:pt idx="94">
                  <c:v>20019</c:v>
                </c:pt>
                <c:pt idx="95">
                  <c:v>16234</c:v>
                </c:pt>
                <c:pt idx="96">
                  <c:v>12790</c:v>
                </c:pt>
                <c:pt idx="97">
                  <c:v>9782</c:v>
                </c:pt>
                <c:pt idx="98">
                  <c:v>7254</c:v>
                </c:pt>
                <c:pt idx="99">
                  <c:v>5196</c:v>
                </c:pt>
                <c:pt idx="100">
                  <c:v>3617</c:v>
                </c:pt>
                <c:pt idx="101">
                  <c:v>2417</c:v>
                </c:pt>
                <c:pt idx="102">
                  <c:v>1578</c:v>
                </c:pt>
                <c:pt idx="103">
                  <c:v>1007</c:v>
                </c:pt>
                <c:pt idx="104">
                  <c:v>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3E-403C-BA0E-4B009A405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898448"/>
        <c:axId val="256901808"/>
      </c:lineChart>
      <c:catAx>
        <c:axId val="25689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256901808"/>
        <c:crosses val="autoZero"/>
        <c:auto val="1"/>
        <c:lblAlgn val="ctr"/>
        <c:lblOffset val="100"/>
        <c:noMultiLvlLbl val="0"/>
      </c:catAx>
      <c:valAx>
        <c:axId val="256901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Survivants (lx)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6898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Probabilité de décès (qx) - France 2025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Probabilité qx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Table_Mortalité!$B$3:$B$107</c:f>
              <c:numCache>
                <c:formatCode>0.00000</c:formatCode>
                <c:ptCount val="105"/>
                <c:pt idx="0">
                  <c:v>3.9100000000000003E-3</c:v>
                </c:pt>
                <c:pt idx="1">
                  <c:v>2.5999999999999998E-4</c:v>
                </c:pt>
                <c:pt idx="2">
                  <c:v>1.7000000000000001E-4</c:v>
                </c:pt>
                <c:pt idx="3">
                  <c:v>1.2E-4</c:v>
                </c:pt>
                <c:pt idx="4">
                  <c:v>1.1E-4</c:v>
                </c:pt>
                <c:pt idx="5">
                  <c:v>9.0000000000000006E-5</c:v>
                </c:pt>
                <c:pt idx="6">
                  <c:v>8.0000000000000007E-5</c:v>
                </c:pt>
                <c:pt idx="7">
                  <c:v>6.9999999999999994E-5</c:v>
                </c:pt>
                <c:pt idx="8">
                  <c:v>6.9999999999999994E-5</c:v>
                </c:pt>
                <c:pt idx="9">
                  <c:v>6.9999999999999994E-5</c:v>
                </c:pt>
                <c:pt idx="10">
                  <c:v>6.9999999999999994E-5</c:v>
                </c:pt>
                <c:pt idx="11">
                  <c:v>6.9999999999999994E-5</c:v>
                </c:pt>
                <c:pt idx="12">
                  <c:v>8.0000000000000007E-5</c:v>
                </c:pt>
                <c:pt idx="13">
                  <c:v>1E-4</c:v>
                </c:pt>
                <c:pt idx="14">
                  <c:v>1.2E-4</c:v>
                </c:pt>
                <c:pt idx="15">
                  <c:v>1.4999999999999999E-4</c:v>
                </c:pt>
                <c:pt idx="16">
                  <c:v>2.0000000000000001E-4</c:v>
                </c:pt>
                <c:pt idx="17">
                  <c:v>2.2000000000000001E-4</c:v>
                </c:pt>
                <c:pt idx="18">
                  <c:v>3.1E-4</c:v>
                </c:pt>
                <c:pt idx="19">
                  <c:v>3.5E-4</c:v>
                </c:pt>
                <c:pt idx="20">
                  <c:v>3.8000000000000002E-4</c:v>
                </c:pt>
                <c:pt idx="21">
                  <c:v>4.0000000000000002E-4</c:v>
                </c:pt>
                <c:pt idx="22">
                  <c:v>4.0000000000000002E-4</c:v>
                </c:pt>
                <c:pt idx="23">
                  <c:v>4.0000000000000002E-4</c:v>
                </c:pt>
                <c:pt idx="24">
                  <c:v>4.0999999999999999E-4</c:v>
                </c:pt>
                <c:pt idx="25">
                  <c:v>4.2000000000000002E-4</c:v>
                </c:pt>
                <c:pt idx="26">
                  <c:v>4.2999999999999999E-4</c:v>
                </c:pt>
                <c:pt idx="27">
                  <c:v>4.4999999999999999E-4</c:v>
                </c:pt>
                <c:pt idx="28">
                  <c:v>5.0000000000000001E-4</c:v>
                </c:pt>
                <c:pt idx="29">
                  <c:v>4.8999999999999998E-4</c:v>
                </c:pt>
                <c:pt idx="30">
                  <c:v>5.1999999999999995E-4</c:v>
                </c:pt>
                <c:pt idx="31">
                  <c:v>5.5999999999999995E-4</c:v>
                </c:pt>
                <c:pt idx="32">
                  <c:v>5.5000000000000003E-4</c:v>
                </c:pt>
                <c:pt idx="33">
                  <c:v>6.2E-4</c:v>
                </c:pt>
                <c:pt idx="34">
                  <c:v>6.4999999999999997E-4</c:v>
                </c:pt>
                <c:pt idx="35">
                  <c:v>7.1000000000000002E-4</c:v>
                </c:pt>
                <c:pt idx="36">
                  <c:v>7.7999999999999999E-4</c:v>
                </c:pt>
                <c:pt idx="37">
                  <c:v>8.5999999999999998E-4</c:v>
                </c:pt>
                <c:pt idx="38">
                  <c:v>9.1E-4</c:v>
                </c:pt>
                <c:pt idx="39">
                  <c:v>1.01E-3</c:v>
                </c:pt>
                <c:pt idx="40">
                  <c:v>1.08E-3</c:v>
                </c:pt>
                <c:pt idx="41">
                  <c:v>1.1800000000000001E-3</c:v>
                </c:pt>
                <c:pt idx="42">
                  <c:v>1.2600000000000001E-3</c:v>
                </c:pt>
                <c:pt idx="43">
                  <c:v>1.3500000000000001E-3</c:v>
                </c:pt>
                <c:pt idx="44">
                  <c:v>1.4599999999999999E-3</c:v>
                </c:pt>
                <c:pt idx="45">
                  <c:v>1.6299999999999999E-3</c:v>
                </c:pt>
                <c:pt idx="46">
                  <c:v>1.73E-3</c:v>
                </c:pt>
                <c:pt idx="47">
                  <c:v>1.8699999999999999E-3</c:v>
                </c:pt>
                <c:pt idx="48">
                  <c:v>2.0699999999999998E-3</c:v>
                </c:pt>
                <c:pt idx="49">
                  <c:v>2.31E-3</c:v>
                </c:pt>
                <c:pt idx="50">
                  <c:v>2.5699999999999998E-3</c:v>
                </c:pt>
                <c:pt idx="51">
                  <c:v>2.7899999999999999E-3</c:v>
                </c:pt>
                <c:pt idx="52">
                  <c:v>3.0999999999999999E-3</c:v>
                </c:pt>
                <c:pt idx="53">
                  <c:v>3.3899999999999998E-3</c:v>
                </c:pt>
                <c:pt idx="54">
                  <c:v>3.6700000000000001E-3</c:v>
                </c:pt>
                <c:pt idx="55">
                  <c:v>4.0299999999999997E-3</c:v>
                </c:pt>
                <c:pt idx="56">
                  <c:v>4.3899999999999998E-3</c:v>
                </c:pt>
                <c:pt idx="57">
                  <c:v>4.81E-3</c:v>
                </c:pt>
                <c:pt idx="58">
                  <c:v>5.2199999999999998E-3</c:v>
                </c:pt>
                <c:pt idx="59">
                  <c:v>5.5500000000000002E-3</c:v>
                </c:pt>
                <c:pt idx="60">
                  <c:v>6.0800000000000003E-3</c:v>
                </c:pt>
                <c:pt idx="61">
                  <c:v>6.6400000000000001E-3</c:v>
                </c:pt>
                <c:pt idx="62">
                  <c:v>7.3000000000000001E-3</c:v>
                </c:pt>
                <c:pt idx="63">
                  <c:v>8.0099999999999998E-3</c:v>
                </c:pt>
                <c:pt idx="64">
                  <c:v>8.6599999999999993E-3</c:v>
                </c:pt>
                <c:pt idx="65">
                  <c:v>9.3600000000000003E-3</c:v>
                </c:pt>
                <c:pt idx="66">
                  <c:v>1.018E-2</c:v>
                </c:pt>
                <c:pt idx="67">
                  <c:v>1.085E-2</c:v>
                </c:pt>
                <c:pt idx="68">
                  <c:v>1.176E-2</c:v>
                </c:pt>
                <c:pt idx="69">
                  <c:v>1.2630000000000001E-2</c:v>
                </c:pt>
                <c:pt idx="70">
                  <c:v>1.3650000000000001E-2</c:v>
                </c:pt>
                <c:pt idx="71">
                  <c:v>1.4619999999999999E-2</c:v>
                </c:pt>
                <c:pt idx="72">
                  <c:v>1.5789999999999998E-2</c:v>
                </c:pt>
                <c:pt idx="73">
                  <c:v>1.7000000000000001E-2</c:v>
                </c:pt>
                <c:pt idx="74">
                  <c:v>1.8339999999999999E-2</c:v>
                </c:pt>
                <c:pt idx="75">
                  <c:v>1.9779999999999999E-2</c:v>
                </c:pt>
                <c:pt idx="76">
                  <c:v>2.1829999999999999E-2</c:v>
                </c:pt>
                <c:pt idx="77">
                  <c:v>2.3980000000000001E-2</c:v>
                </c:pt>
                <c:pt idx="78">
                  <c:v>2.666E-2</c:v>
                </c:pt>
                <c:pt idx="79">
                  <c:v>2.9489999999999999E-2</c:v>
                </c:pt>
                <c:pt idx="80">
                  <c:v>3.2689999999999997E-2</c:v>
                </c:pt>
                <c:pt idx="81">
                  <c:v>3.6600000000000001E-2</c:v>
                </c:pt>
                <c:pt idx="82">
                  <c:v>4.1300000000000003E-2</c:v>
                </c:pt>
                <c:pt idx="83">
                  <c:v>4.6629999999999998E-2</c:v>
                </c:pt>
                <c:pt idx="84">
                  <c:v>5.3769999999999998E-2</c:v>
                </c:pt>
                <c:pt idx="85">
                  <c:v>6.1030000000000001E-2</c:v>
                </c:pt>
                <c:pt idx="86">
                  <c:v>6.9159999999999999E-2</c:v>
                </c:pt>
                <c:pt idx="87">
                  <c:v>7.8390000000000001E-2</c:v>
                </c:pt>
                <c:pt idx="88">
                  <c:v>8.8789999999999994E-2</c:v>
                </c:pt>
                <c:pt idx="89">
                  <c:v>0.10156999999999999</c:v>
                </c:pt>
                <c:pt idx="90">
                  <c:v>0.11584</c:v>
                </c:pt>
                <c:pt idx="91">
                  <c:v>0.13133</c:v>
                </c:pt>
                <c:pt idx="92">
                  <c:v>0.14845</c:v>
                </c:pt>
                <c:pt idx="93">
                  <c:v>0.16718</c:v>
                </c:pt>
                <c:pt idx="94">
                  <c:v>0.18906000000000001</c:v>
                </c:pt>
                <c:pt idx="95">
                  <c:v>0.21215000000000001</c:v>
                </c:pt>
                <c:pt idx="96">
                  <c:v>0.23519000000000001</c:v>
                </c:pt>
                <c:pt idx="97">
                  <c:v>0.25844</c:v>
                </c:pt>
                <c:pt idx="98">
                  <c:v>0.28369</c:v>
                </c:pt>
                <c:pt idx="99">
                  <c:v>0.3039</c:v>
                </c:pt>
                <c:pt idx="100">
                  <c:v>0.33169999999999999</c:v>
                </c:pt>
                <c:pt idx="101">
                  <c:v>0.34725</c:v>
                </c:pt>
                <c:pt idx="102">
                  <c:v>0.36170999999999998</c:v>
                </c:pt>
                <c:pt idx="103">
                  <c:v>0.38453999999999999</c:v>
                </c:pt>
                <c:pt idx="104">
                  <c:v>0.37592999999999999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C-4B5E-82DC-0EF6C247E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921488"/>
        <c:axId val="256917648"/>
      </c:lineChart>
      <c:catAx>
        <c:axId val="25692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256917648"/>
        <c:crosses val="autoZero"/>
        <c:auto val="1"/>
        <c:lblAlgn val="ctr"/>
        <c:lblOffset val="100"/>
        <c:noMultiLvlLbl val="0"/>
      </c:catAx>
      <c:valAx>
        <c:axId val="25691764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Probabilité (qx)</a:t>
                </a:r>
              </a:p>
            </c:rich>
          </c:tx>
          <c:overlay val="0"/>
        </c:title>
        <c:numFmt formatCode="0.00000" sourceLinked="1"/>
        <c:majorTickMark val="out"/>
        <c:minorTickMark val="none"/>
        <c:tickLblPos val="nextTo"/>
        <c:crossAx val="256921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Espérance de vie résiduelle (ex) - France 2025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7"/>
          <c:order val="0"/>
          <c:tx>
            <c:v>Espérance ex</c:v>
          </c:tx>
          <c:spPr>
            <a:ln w="31750">
              <a:solidFill>
                <a:srgbClr val="00B050"/>
              </a:solidFill>
            </a:ln>
          </c:spPr>
          <c:marker>
            <c:symbol val="none"/>
          </c:marker>
          <c:val>
            <c:numRef>
              <c:f>Table_Mortalité!$H$3:$H$107</c:f>
              <c:numCache>
                <c:formatCode>0.00</c:formatCode>
                <c:ptCount val="105"/>
                <c:pt idx="0">
                  <c:v>82.953999999999994</c:v>
                </c:pt>
                <c:pt idx="1">
                  <c:v>82.277660653153831</c:v>
                </c:pt>
                <c:pt idx="2">
                  <c:v>81.299011879537673</c:v>
                </c:pt>
                <c:pt idx="3">
                  <c:v>80.312807584918545</c:v>
                </c:pt>
                <c:pt idx="4">
                  <c:v>79.322428029009387</c:v>
                </c:pt>
                <c:pt idx="5">
                  <c:v>78.33113830204033</c:v>
                </c:pt>
                <c:pt idx="6">
                  <c:v>77.338175899692573</c:v>
                </c:pt>
                <c:pt idx="7">
                  <c:v>76.344352229568159</c:v>
                </c:pt>
                <c:pt idx="8">
                  <c:v>75.349686994443275</c:v>
                </c:pt>
                <c:pt idx="9">
                  <c:v>74.354952166572872</c:v>
                </c:pt>
                <c:pt idx="10">
                  <c:v>73.360147731269791</c:v>
                </c:pt>
                <c:pt idx="11">
                  <c:v>72.365273673842694</c:v>
                </c:pt>
                <c:pt idx="12">
                  <c:v>71.37032997959615</c:v>
                </c:pt>
                <c:pt idx="13">
                  <c:v>70.375316633830565</c:v>
                </c:pt>
                <c:pt idx="14">
                  <c:v>69.383043639982702</c:v>
                </c:pt>
                <c:pt idx="15">
                  <c:v>68.391354400217168</c:v>
                </c:pt>
                <c:pt idx="16">
                  <c:v>67.401594835388053</c:v>
                </c:pt>
                <c:pt idx="17">
                  <c:v>66.415052400780482</c:v>
                </c:pt>
                <c:pt idx="18">
                  <c:v>65.429640658323606</c:v>
                </c:pt>
                <c:pt idx="19">
                  <c:v>64.449242256525849</c:v>
                </c:pt>
                <c:pt idx="20">
                  <c:v>63.471773422321547</c:v>
                </c:pt>
                <c:pt idx="21">
                  <c:v>62.49587113926345</c:v>
                </c:pt>
                <c:pt idx="22">
                  <c:v>61.520229292176261</c:v>
                </c:pt>
                <c:pt idx="23">
                  <c:v>60.544828767813591</c:v>
                </c:pt>
                <c:pt idx="24">
                  <c:v>59.569044786352364</c:v>
                </c:pt>
                <c:pt idx="25">
                  <c:v>58.592876883661816</c:v>
                </c:pt>
                <c:pt idx="26">
                  <c:v>57.617497477295657</c:v>
                </c:pt>
                <c:pt idx="27">
                  <c:v>56.642291811785135</c:v>
                </c:pt>
                <c:pt idx="28">
                  <c:v>55.667807942471619</c:v>
                </c:pt>
                <c:pt idx="29">
                  <c:v>54.695123429968774</c:v>
                </c:pt>
                <c:pt idx="30">
                  <c:v>53.721422433402417</c:v>
                </c:pt>
                <c:pt idx="31">
                  <c:v>52.749415858308971</c:v>
                </c:pt>
                <c:pt idx="32">
                  <c:v>51.778499716622136</c:v>
                </c:pt>
                <c:pt idx="33">
                  <c:v>50.807059026054908</c:v>
                </c:pt>
                <c:pt idx="34">
                  <c:v>49.838153041786569</c:v>
                </c:pt>
                <c:pt idx="35">
                  <c:v>48.870168714766599</c:v>
                </c:pt>
                <c:pt idx="36">
                  <c:v>47.905014357174018</c:v>
                </c:pt>
                <c:pt idx="37">
                  <c:v>46.942079610073108</c:v>
                </c:pt>
                <c:pt idx="38">
                  <c:v>45.981726899467461</c:v>
                </c:pt>
                <c:pt idx="39">
                  <c:v>45.023365816938949</c:v>
                </c:pt>
                <c:pt idx="40">
                  <c:v>44.06824869917623</c:v>
                </c:pt>
                <c:pt idx="41">
                  <c:v>43.115325022171028</c:v>
                </c:pt>
                <c:pt idx="42">
                  <c:v>42.165775373781699</c:v>
                </c:pt>
                <c:pt idx="43">
                  <c:v>41.218143916944271</c:v>
                </c:pt>
                <c:pt idx="44">
                  <c:v>40.273140284457178</c:v>
                </c:pt>
                <c:pt idx="45">
                  <c:v>39.331422218123315</c:v>
                </c:pt>
                <c:pt idx="46">
                  <c:v>38.394794104364252</c:v>
                </c:pt>
                <c:pt idx="47">
                  <c:v>37.460641174595665</c:v>
                </c:pt>
                <c:pt idx="48">
                  <c:v>36.529935000051502</c:v>
                </c:pt>
                <c:pt idx="49">
                  <c:v>35.604690532226762</c:v>
                </c:pt>
                <c:pt idx="50">
                  <c:v>34.685684872688896</c:v>
                </c:pt>
                <c:pt idx="51">
                  <c:v>33.77398240736899</c:v>
                </c:pt>
                <c:pt idx="52">
                  <c:v>32.866740867104937</c:v>
                </c:pt>
                <c:pt idx="53">
                  <c:v>31.967382457897703</c:v>
                </c:pt>
                <c:pt idx="54">
                  <c:v>31.074455833237359</c:v>
                </c:pt>
                <c:pt idx="55">
                  <c:v>30.187228095248102</c:v>
                </c:pt>
                <c:pt idx="56">
                  <c:v>29.307193576636173</c:v>
                </c:pt>
                <c:pt idx="57">
                  <c:v>28.434190307641767</c:v>
                </c:pt>
                <c:pt idx="58">
                  <c:v>27.569237240307107</c:v>
                </c:pt>
                <c:pt idx="59">
                  <c:v>26.71122041554716</c:v>
                </c:pt>
                <c:pt idx="60">
                  <c:v>25.857369673092862</c:v>
                </c:pt>
                <c:pt idx="61">
                  <c:v>25.012530324033964</c:v>
                </c:pt>
                <c:pt idx="62">
                  <c:v>24.176351623911124</c:v>
                </c:pt>
                <c:pt idx="63">
                  <c:v>23.350570546824375</c:v>
                </c:pt>
                <c:pt idx="64">
                  <c:v>22.534996235773438</c:v>
                </c:pt>
                <c:pt idx="65">
                  <c:v>21.72743517008778</c:v>
                </c:pt>
                <c:pt idx="66">
                  <c:v>20.927973935786436</c:v>
                </c:pt>
                <c:pt idx="67">
                  <c:v>20.138067903554628</c:v>
                </c:pt>
                <c:pt idx="68">
                  <c:v>19.353560243183495</c:v>
                </c:pt>
                <c:pt idx="69">
                  <c:v>18.578064922051592</c:v>
                </c:pt>
                <c:pt idx="70">
                  <c:v>17.809315333600811</c:v>
                </c:pt>
                <c:pt idx="71">
                  <c:v>17.04870432847606</c:v>
                </c:pt>
                <c:pt idx="72">
                  <c:v>16.294230489048612</c:v>
                </c:pt>
                <c:pt idx="73">
                  <c:v>15.547715973995535</c:v>
                </c:pt>
                <c:pt idx="74">
                  <c:v>14.807937503921691</c:v>
                </c:pt>
                <c:pt idx="75">
                  <c:v>14.075168746164859</c:v>
                </c:pt>
                <c:pt idx="76">
                  <c:v>13.349055127352401</c:v>
                </c:pt>
                <c:pt idx="77">
                  <c:v>12.635834566617335</c:v>
                </c:pt>
                <c:pt idx="78">
                  <c:v>11.934074640730016</c:v>
                </c:pt>
                <c:pt idx="79">
                  <c:v>11.247319373491271</c:v>
                </c:pt>
                <c:pt idx="80">
                  <c:v>10.573852872698877</c:v>
                </c:pt>
                <c:pt idx="81">
                  <c:v>9.9143668709822101</c:v>
                </c:pt>
                <c:pt idx="82">
                  <c:v>9.2719965240060827</c:v>
                </c:pt>
                <c:pt idx="83">
                  <c:v>8.6499676270637753</c:v>
                </c:pt>
                <c:pt idx="84">
                  <c:v>8.0484719864176579</c:v>
                </c:pt>
                <c:pt idx="85">
                  <c:v>7.4774101519745928</c:v>
                </c:pt>
                <c:pt idx="86">
                  <c:v>6.931006477995834</c:v>
                </c:pt>
                <c:pt idx="87">
                  <c:v>6.4087904417802593</c:v>
                </c:pt>
                <c:pt idx="88">
                  <c:v>5.9113021784648279</c:v>
                </c:pt>
                <c:pt idx="89">
                  <c:v>5.4385694729637235</c:v>
                </c:pt>
                <c:pt idx="90">
                  <c:v>4.9968846080592062</c:v>
                </c:pt>
                <c:pt idx="91">
                  <c:v>4.5861363286659484</c:v>
                </c:pt>
                <c:pt idx="92">
                  <c:v>4.2038047328893295</c:v>
                </c:pt>
                <c:pt idx="93">
                  <c:v>3.8495860548321339</c:v>
                </c:pt>
                <c:pt idx="94">
                  <c:v>3.5218792147459914</c:v>
                </c:pt>
                <c:pt idx="95">
                  <c:v>3.2264383392879141</c:v>
                </c:pt>
                <c:pt idx="96">
                  <c:v>2.9605942142298671</c:v>
                </c:pt>
                <c:pt idx="97">
                  <c:v>2.717235739112656</c:v>
                </c:pt>
                <c:pt idx="98">
                  <c:v>2.4899365867107801</c:v>
                </c:pt>
                <c:pt idx="99">
                  <c:v>2.2780985373364127</c:v>
                </c:pt>
                <c:pt idx="100">
                  <c:v>2.0543267901575892</c:v>
                </c:pt>
                <c:pt idx="101">
                  <c:v>1.8260239966901117</c:v>
                </c:pt>
                <c:pt idx="102">
                  <c:v>1.5310519645120406</c:v>
                </c:pt>
                <c:pt idx="103">
                  <c:v>1.1156901688182721</c:v>
                </c:pt>
                <c:pt idx="10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88-4B28-A891-1B77D4A25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898928"/>
        <c:axId val="256900848"/>
      </c:lineChart>
      <c:catAx>
        <c:axId val="256898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256900848"/>
        <c:crosses val="autoZero"/>
        <c:auto val="1"/>
        <c:lblAlgn val="ctr"/>
        <c:lblOffset val="100"/>
        <c:noMultiLvlLbl val="0"/>
      </c:catAx>
      <c:valAx>
        <c:axId val="256900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Espérance de vie (années)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56898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décès par âge (dx) - France 2025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v>Décès dx</c:v>
          </c:tx>
          <c:spPr>
            <a:solidFill>
              <a:srgbClr val="FFC000"/>
            </a:solidFill>
          </c:spPr>
          <c:invertIfNegative val="0"/>
          <c:val>
            <c:numRef>
              <c:f>Table_Mortalité!$E$3:$E$107</c:f>
              <c:numCache>
                <c:formatCode>#,##0</c:formatCode>
                <c:ptCount val="105"/>
                <c:pt idx="0">
                  <c:v>391</c:v>
                </c:pt>
                <c:pt idx="1">
                  <c:v>25.898339999999997</c:v>
                </c:pt>
                <c:pt idx="2">
                  <c:v>16.929110000000001</c:v>
                </c:pt>
                <c:pt idx="3">
                  <c:v>11.94792</c:v>
                </c:pt>
                <c:pt idx="4">
                  <c:v>10.950940000000001</c:v>
                </c:pt>
                <c:pt idx="5">
                  <c:v>8.958870000000001</c:v>
                </c:pt>
                <c:pt idx="6">
                  <c:v>7.9627200000000009</c:v>
                </c:pt>
                <c:pt idx="7">
                  <c:v>6.9668199999999993</c:v>
                </c:pt>
                <c:pt idx="8">
                  <c:v>6.9663299999999992</c:v>
                </c:pt>
                <c:pt idx="9">
                  <c:v>6.9658399999999991</c:v>
                </c:pt>
                <c:pt idx="10">
                  <c:v>6.965349999999999</c:v>
                </c:pt>
                <c:pt idx="11">
                  <c:v>6.9648599999999998</c:v>
                </c:pt>
                <c:pt idx="12">
                  <c:v>7.9592800000000006</c:v>
                </c:pt>
                <c:pt idx="13">
                  <c:v>9.9484000000000012</c:v>
                </c:pt>
                <c:pt idx="14">
                  <c:v>11.93676</c:v>
                </c:pt>
                <c:pt idx="15">
                  <c:v>14.919149999999998</c:v>
                </c:pt>
                <c:pt idx="16">
                  <c:v>19.889200000000002</c:v>
                </c:pt>
                <c:pt idx="17">
                  <c:v>21.873720000000002</c:v>
                </c:pt>
                <c:pt idx="18">
                  <c:v>30.815239999999999</c:v>
                </c:pt>
                <c:pt idx="19">
                  <c:v>34.780900000000003</c:v>
                </c:pt>
                <c:pt idx="20">
                  <c:v>37.748820000000002</c:v>
                </c:pt>
                <c:pt idx="21">
                  <c:v>39.720400000000005</c:v>
                </c:pt>
                <c:pt idx="22">
                  <c:v>39.704799999999999</c:v>
                </c:pt>
                <c:pt idx="23">
                  <c:v>39.688800000000001</c:v>
                </c:pt>
                <c:pt idx="24">
                  <c:v>40.664619999999999</c:v>
                </c:pt>
                <c:pt idx="25">
                  <c:v>41.63964</c:v>
                </c:pt>
                <c:pt idx="26">
                  <c:v>42.613</c:v>
                </c:pt>
                <c:pt idx="27">
                  <c:v>44.575649999999996</c:v>
                </c:pt>
                <c:pt idx="28">
                  <c:v>49.506</c:v>
                </c:pt>
                <c:pt idx="29">
                  <c:v>48.491869999999999</c:v>
                </c:pt>
                <c:pt idx="30">
                  <c:v>51.435799999999993</c:v>
                </c:pt>
                <c:pt idx="31">
                  <c:v>55.363279999999996</c:v>
                </c:pt>
                <c:pt idx="32">
                  <c:v>54.3444</c:v>
                </c:pt>
                <c:pt idx="33">
                  <c:v>61.226860000000002</c:v>
                </c:pt>
                <c:pt idx="34">
                  <c:v>64.149799999999999</c:v>
                </c:pt>
                <c:pt idx="35">
                  <c:v>70.025880000000001</c:v>
                </c:pt>
                <c:pt idx="36">
                  <c:v>76.874459999999999</c:v>
                </c:pt>
                <c:pt idx="37">
                  <c:v>84.692799999999991</c:v>
                </c:pt>
                <c:pt idx="38">
                  <c:v>89.540360000000007</c:v>
                </c:pt>
                <c:pt idx="39">
                  <c:v>99.289060000000006</c:v>
                </c:pt>
                <c:pt idx="40">
                  <c:v>106.06356</c:v>
                </c:pt>
                <c:pt idx="41">
                  <c:v>115.75918</c:v>
                </c:pt>
                <c:pt idx="42">
                  <c:v>123.4611</c:v>
                </c:pt>
                <c:pt idx="43">
                  <c:v>132.11369999999999</c:v>
                </c:pt>
                <c:pt idx="44">
                  <c:v>142.6858</c:v>
                </c:pt>
                <c:pt idx="45">
                  <c:v>159.06681</c:v>
                </c:pt>
                <c:pt idx="46">
                  <c:v>168.55044000000001</c:v>
                </c:pt>
                <c:pt idx="47">
                  <c:v>181.87432999999999</c:v>
                </c:pt>
                <c:pt idx="48">
                  <c:v>200.94938999999999</c:v>
                </c:pt>
                <c:pt idx="49">
                  <c:v>223.78355999999999</c:v>
                </c:pt>
                <c:pt idx="50">
                  <c:v>248.39820999999998</c:v>
                </c:pt>
                <c:pt idx="51">
                  <c:v>268.96715999999998</c:v>
                </c:pt>
                <c:pt idx="52">
                  <c:v>298.02159999999998</c:v>
                </c:pt>
                <c:pt idx="53">
                  <c:v>324.89081999999996</c:v>
                </c:pt>
                <c:pt idx="54">
                  <c:v>350.53271000000001</c:v>
                </c:pt>
                <c:pt idx="55">
                  <c:v>383.50286</c:v>
                </c:pt>
                <c:pt idx="56">
                  <c:v>416.07981000000001</c:v>
                </c:pt>
                <c:pt idx="57">
                  <c:v>453.88603000000001</c:v>
                </c:pt>
                <c:pt idx="58">
                  <c:v>490.20497999999998</c:v>
                </c:pt>
                <c:pt idx="59">
                  <c:v>518.47545000000002</c:v>
                </c:pt>
                <c:pt idx="60">
                  <c:v>564.83807999999999</c:v>
                </c:pt>
                <c:pt idx="61">
                  <c:v>613.11104</c:v>
                </c:pt>
                <c:pt idx="62">
                  <c:v>669.5779</c:v>
                </c:pt>
                <c:pt idx="63">
                  <c:v>729.33452999999997</c:v>
                </c:pt>
                <c:pt idx="64">
                  <c:v>782.20583999999997</c:v>
                </c:pt>
                <c:pt idx="65">
                  <c:v>838.11311999999998</c:v>
                </c:pt>
                <c:pt idx="66">
                  <c:v>903.00671999999997</c:v>
                </c:pt>
                <c:pt idx="67">
                  <c:v>952.64085</c:v>
                </c:pt>
                <c:pt idx="68">
                  <c:v>1021.3324799999999</c:v>
                </c:pt>
                <c:pt idx="69">
                  <c:v>1083.9823800000001</c:v>
                </c:pt>
                <c:pt idx="70">
                  <c:v>1156.7283</c:v>
                </c:pt>
                <c:pt idx="71">
                  <c:v>1222.0273199999999</c:v>
                </c:pt>
                <c:pt idx="72">
                  <c:v>1300.5275599999998</c:v>
                </c:pt>
                <c:pt idx="73">
                  <c:v>1378.0710000000001</c:v>
                </c:pt>
                <c:pt idx="74">
                  <c:v>1461.4228999999998</c:v>
                </c:pt>
                <c:pt idx="75">
                  <c:v>1547.27072</c:v>
                </c:pt>
                <c:pt idx="76">
                  <c:v>1673.8589099999999</c:v>
                </c:pt>
                <c:pt idx="77">
                  <c:v>1798.57194</c:v>
                </c:pt>
                <c:pt idx="78">
                  <c:v>1951.6186399999999</c:v>
                </c:pt>
                <c:pt idx="79">
                  <c:v>2101.2214799999997</c:v>
                </c:pt>
                <c:pt idx="80">
                  <c:v>2260.5461899999996</c:v>
                </c:pt>
                <c:pt idx="81">
                  <c:v>2448.174</c:v>
                </c:pt>
                <c:pt idx="82">
                  <c:v>2661.4546</c:v>
                </c:pt>
                <c:pt idx="83">
                  <c:v>2880.8013999999998</c:v>
                </c:pt>
                <c:pt idx="84">
                  <c:v>3167.0529999999999</c:v>
                </c:pt>
                <c:pt idx="85">
                  <c:v>3401.38499</c:v>
                </c:pt>
                <c:pt idx="86">
                  <c:v>3619.2119600000001</c:v>
                </c:pt>
                <c:pt idx="87">
                  <c:v>3818.53368</c:v>
                </c:pt>
                <c:pt idx="88">
                  <c:v>3986.1382599999997</c:v>
                </c:pt>
                <c:pt idx="89">
                  <c:v>4155.02556</c:v>
                </c:pt>
                <c:pt idx="90">
                  <c:v>4257.4675200000001</c:v>
                </c:pt>
                <c:pt idx="91">
                  <c:v>4267.5683500000005</c:v>
                </c:pt>
                <c:pt idx="92">
                  <c:v>4190.4466000000002</c:v>
                </c:pt>
                <c:pt idx="93">
                  <c:v>4018.5056599999998</c:v>
                </c:pt>
                <c:pt idx="94">
                  <c:v>3784.79214</c:v>
                </c:pt>
                <c:pt idx="95">
                  <c:v>3444.0430999999999</c:v>
                </c:pt>
                <c:pt idx="96">
                  <c:v>3008.0801000000001</c:v>
                </c:pt>
                <c:pt idx="97">
                  <c:v>2528.0600800000002</c:v>
                </c:pt>
                <c:pt idx="98">
                  <c:v>2057.88726</c:v>
                </c:pt>
                <c:pt idx="99">
                  <c:v>1579.0644</c:v>
                </c:pt>
                <c:pt idx="100">
                  <c:v>1199.7589</c:v>
                </c:pt>
                <c:pt idx="101">
                  <c:v>839.30325000000005</c:v>
                </c:pt>
                <c:pt idx="102">
                  <c:v>570.77837999999997</c:v>
                </c:pt>
                <c:pt idx="103">
                  <c:v>387.23178000000001</c:v>
                </c:pt>
                <c:pt idx="104">
                  <c:v>233.07659999999998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33-439F-8E6A-03F756D3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918128"/>
        <c:axId val="256911408"/>
      </c:barChart>
      <c:catAx>
        <c:axId val="25691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256911408"/>
        <c:crosses val="autoZero"/>
        <c:auto val="1"/>
        <c:lblAlgn val="ctr"/>
        <c:lblOffset val="100"/>
        <c:noMultiLvlLbl val="0"/>
      </c:catAx>
      <c:valAx>
        <c:axId val="256911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décès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56918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baseline="0"/>
              <a:t>Provision Solvabilité II (BE + RM)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9095580147791648E-2"/>
          <c:y val="0.15933774834437089"/>
          <c:w val="0.89275010820319167"/>
          <c:h val="0.633185934539639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Provisions_Techniques!$B$71</c:f>
              <c:strCache>
                <c:ptCount val="1"/>
                <c:pt idx="0">
                  <c:v> BE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CDF-48E0-ADDA-C5AB74C449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Provisions_Techniques!$A$72:$A$74</c:f>
              <c:strCache>
                <c:ptCount val="3"/>
                <c:pt idx="0">
                  <c:v>Décès</c:v>
                </c:pt>
                <c:pt idx="1">
                  <c:v>Vie</c:v>
                </c:pt>
                <c:pt idx="2">
                  <c:v>Mixte</c:v>
                </c:pt>
              </c:strCache>
            </c:strRef>
          </c:cat>
          <c:val>
            <c:numRef>
              <c:f>Provisions_Techniques!$B$72:$B$74</c:f>
              <c:numCache>
                <c:formatCode>_-* #\ ##0_-;\-* #\ ##0_-;_-* "-"??_-;_-@_-</c:formatCode>
                <c:ptCount val="3"/>
                <c:pt idx="0">
                  <c:v>8363</c:v>
                </c:pt>
                <c:pt idx="1">
                  <c:v>127322</c:v>
                </c:pt>
                <c:pt idx="2">
                  <c:v>135685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F-48E0-ADDA-C5AB74C449F2}"/>
            </c:ext>
          </c:extLst>
        </c:ser>
        <c:ser>
          <c:idx val="1"/>
          <c:order val="1"/>
          <c:tx>
            <c:strRef>
              <c:f>Provisions_Techniques!$C$71</c:f>
              <c:strCache>
                <c:ptCount val="1"/>
                <c:pt idx="0">
                  <c:v> RM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2.64900662251655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DF-48E0-ADDA-C5AB74C449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Provisions_Techniques!$A$72:$A$74</c:f>
              <c:strCache>
                <c:ptCount val="3"/>
                <c:pt idx="0">
                  <c:v>Décès</c:v>
                </c:pt>
                <c:pt idx="1">
                  <c:v>Vie</c:v>
                </c:pt>
                <c:pt idx="2">
                  <c:v>Mixte</c:v>
                </c:pt>
              </c:strCache>
            </c:strRef>
          </c:cat>
          <c:val>
            <c:numRef>
              <c:f>Provisions_Techniques!$C$72:$C$74</c:f>
              <c:numCache>
                <c:formatCode>_-* #\ ##0_-;\-* #\ ##0_-;_-* "-"??_-;_-@_-</c:formatCode>
                <c:ptCount val="3"/>
                <c:pt idx="0">
                  <c:v>889</c:v>
                </c:pt>
                <c:pt idx="1">
                  <c:v>22203</c:v>
                </c:pt>
                <c:pt idx="2">
                  <c:v>23092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F-48E0-ADDA-C5AB74C44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85021759"/>
        <c:axId val="1585043839"/>
      </c:barChart>
      <c:catAx>
        <c:axId val="158502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5043839"/>
        <c:crosses val="autoZero"/>
        <c:auto val="1"/>
        <c:lblAlgn val="ctr"/>
        <c:lblOffset val="100"/>
        <c:noMultiLvlLbl val="0"/>
      </c:catAx>
      <c:valAx>
        <c:axId val="1585043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5021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u="none" strike="noStrike" baseline="0"/>
              <a:t>Décomposition du SCR</a:t>
            </a:r>
            <a:endParaRPr lang="fr-F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Provisions_Techniques!$F$71</c:f>
              <c:strCache>
                <c:ptCount val="1"/>
                <c:pt idx="0">
                  <c:v>Mortalite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Provisions_Techniques!$A$72:$A$74</c:f>
              <c:strCache>
                <c:ptCount val="3"/>
                <c:pt idx="0">
                  <c:v>Décès</c:v>
                </c:pt>
                <c:pt idx="1">
                  <c:v>Vie</c:v>
                </c:pt>
                <c:pt idx="2">
                  <c:v>Mixte</c:v>
                </c:pt>
              </c:strCache>
            </c:strRef>
          </c:cat>
          <c:val>
            <c:numRef>
              <c:f>Provisions_Techniques!$F$72:$F$74</c:f>
              <c:numCache>
                <c:formatCode>General</c:formatCode>
                <c:ptCount val="3"/>
                <c:pt idx="0">
                  <c:v>1200</c:v>
                </c:pt>
                <c:pt idx="1">
                  <c:v>12000</c:v>
                </c:pt>
                <c:pt idx="2">
                  <c:v>13000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6-4B86-9D42-0F7B8C28CBF8}"/>
            </c:ext>
          </c:extLst>
        </c:ser>
        <c:ser>
          <c:idx val="1"/>
          <c:order val="1"/>
          <c:tx>
            <c:strRef>
              <c:f>Provisions_Techniques!$G$71</c:f>
              <c:strCache>
                <c:ptCount val="1"/>
                <c:pt idx="0">
                  <c:v>Longevite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Provisions_Techniques!$A$72:$A$74</c:f>
              <c:strCache>
                <c:ptCount val="3"/>
                <c:pt idx="0">
                  <c:v>Décès</c:v>
                </c:pt>
                <c:pt idx="1">
                  <c:v>Vie</c:v>
                </c:pt>
                <c:pt idx="2">
                  <c:v>Mixte</c:v>
                </c:pt>
              </c:strCache>
            </c:strRef>
          </c:cat>
          <c:val>
            <c:numRef>
              <c:f>Provisions_Techniques!$G$72:$G$74</c:f>
              <c:numCache>
                <c:formatCode>General</c:formatCode>
                <c:ptCount val="3"/>
                <c:pt idx="0">
                  <c:v>600</c:v>
                </c:pt>
                <c:pt idx="1">
                  <c:v>18000</c:v>
                </c:pt>
                <c:pt idx="2">
                  <c:v>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76-4B86-9D42-0F7B8C28CBF8}"/>
            </c:ext>
          </c:extLst>
        </c:ser>
        <c:ser>
          <c:idx val="2"/>
          <c:order val="2"/>
          <c:tx>
            <c:strRef>
              <c:f>Provisions_Techniques!$H$71</c:f>
              <c:strCache>
                <c:ptCount val="1"/>
                <c:pt idx="0">
                  <c:v>Rachat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Provisions_Techniques!$A$72:$A$74</c:f>
              <c:strCache>
                <c:ptCount val="3"/>
                <c:pt idx="0">
                  <c:v>Décès</c:v>
                </c:pt>
                <c:pt idx="1">
                  <c:v>Vie</c:v>
                </c:pt>
                <c:pt idx="2">
                  <c:v>Mixte</c:v>
                </c:pt>
              </c:strCache>
            </c:strRef>
          </c:cat>
          <c:val>
            <c:numRef>
              <c:f>Provisions_Techniques!$H$72:$H$74</c:f>
              <c:numCache>
                <c:formatCode>General</c:formatCode>
                <c:ptCount val="3"/>
                <c:pt idx="0">
                  <c:v>269</c:v>
                </c:pt>
                <c:pt idx="1">
                  <c:v>3435</c:v>
                </c:pt>
                <c:pt idx="2">
                  <c:v>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76-4B86-9D42-0F7B8C28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4989599"/>
        <c:axId val="1584985759"/>
      </c:barChart>
      <c:catAx>
        <c:axId val="158498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985759"/>
        <c:crosses val="autoZero"/>
        <c:auto val="1"/>
        <c:lblAlgn val="ctr"/>
        <c:lblOffset val="100"/>
        <c:noMultiLvlLbl val="0"/>
      </c:catAx>
      <c:valAx>
        <c:axId val="158498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98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533400</xdr:colOff>
          <xdr:row>1</xdr:row>
          <xdr:rowOff>361950</xdr:rowOff>
        </xdr:from>
        <xdr:to>
          <xdr:col>13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66"/>
                  </a:solidFill>
                  <a:latin typeface="Arial"/>
                  <a:cs typeface="Arial"/>
                </a:rPr>
                <a:t>Données Brutes INSEE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3</xdr:row>
          <xdr:rowOff>180975</xdr:rowOff>
        </xdr:from>
        <xdr:to>
          <xdr:col>16</xdr:col>
          <xdr:colOff>209550</xdr:colOff>
          <xdr:row>6</xdr:row>
          <xdr:rowOff>19050</xdr:rowOff>
        </xdr:to>
        <xdr:sp macro="" textlink="">
          <xdr:nvSpPr>
            <xdr:cNvPr id="2049" name="Button 1" descr="1. Créer la structur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1. Créer la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6</xdr:row>
          <xdr:rowOff>171450</xdr:rowOff>
        </xdr:from>
        <xdr:to>
          <xdr:col>16</xdr:col>
          <xdr:colOff>247650</xdr:colOff>
          <xdr:row>9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2. Remplir les formules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171450</xdr:rowOff>
        </xdr:from>
        <xdr:to>
          <xdr:col>16</xdr:col>
          <xdr:colOff>228600</xdr:colOff>
          <xdr:row>13</xdr:row>
          <xdr:rowOff>47625</xdr:rowOff>
        </xdr:to>
        <xdr:sp macro="" textlink="">
          <xdr:nvSpPr>
            <xdr:cNvPr id="12746" name="Button 2506" hidden="1">
              <a:extLst>
                <a:ext uri="{63B3BB69-23CF-44E3-9099-C40C66FF867C}">
                  <a14:compatExt spid="_x0000_s12746"/>
                </a:ext>
                <a:ext uri="{FF2B5EF4-FFF2-40B4-BE49-F238E27FC236}">
                  <a16:creationId xmlns:a16="http://schemas.microsoft.com/office/drawing/2014/main" id="{00000000-0008-0000-0100-0000C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3300"/>
                  </a:solidFill>
                  <a:latin typeface="Arial"/>
                  <a:cs typeface="Arial"/>
                </a:rPr>
                <a:t>Créer les graphiques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0</xdr:rowOff>
        </xdr:from>
        <xdr:to>
          <xdr:col>1</xdr:col>
          <xdr:colOff>619125</xdr:colOff>
          <xdr:row>17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CALCULER LA 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209550</xdr:rowOff>
        </xdr:from>
        <xdr:to>
          <xdr:col>7</xdr:col>
          <xdr:colOff>381000</xdr:colOff>
          <xdr:row>1</xdr:row>
          <xdr:rowOff>152400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GÉNÉRER TABLEAU COMPLET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761999</xdr:colOff>
      <xdr:row>3</xdr:row>
      <xdr:rowOff>176212</xdr:rowOff>
    </xdr:from>
    <xdr:to>
      <xdr:col>14</xdr:col>
      <xdr:colOff>885824</xdr:colOff>
      <xdr:row>17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0004812-00D0-71EE-1E94-9C7632F34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58</xdr:row>
      <xdr:rowOff>9525</xdr:rowOff>
    </xdr:from>
    <xdr:ext cx="6419850" cy="1990725"/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3FE43D59-7D7E-4AE5-AE2B-687B8ABC9F5C}"/>
            </a:ext>
          </a:extLst>
        </xdr:cNvPr>
        <xdr:cNvSpPr txBox="1"/>
      </xdr:nvSpPr>
      <xdr:spPr>
        <a:xfrm>
          <a:off x="0" y="11068050"/>
          <a:ext cx="6419850" cy="1990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/>
            <a:t>Ce graphique met en évidence une forte disparité des provisions techniques selon le type de contrat.</a:t>
          </a:r>
        </a:p>
        <a:p>
          <a:endParaRPr lang="fr-FR"/>
        </a:p>
        <a:p>
          <a:r>
            <a:rPr lang="fr-FR"/>
            <a:t>Le </a:t>
          </a:r>
          <a:r>
            <a:rPr lang="fr-FR" b="1"/>
            <a:t>contrat Décès</a:t>
          </a:r>
          <a:r>
            <a:rPr lang="fr-FR"/>
            <a:t> présente une provision relativement faible. Cela s’explique par la probabilité modérée de décès entre 40 et 60 ans, limitant l’engagement futur de l’assureur.</a:t>
          </a:r>
        </a:p>
        <a:p>
          <a:r>
            <a:rPr lang="fr-FR"/>
            <a:t>Le </a:t>
          </a:r>
          <a:r>
            <a:rPr lang="fr-FR" b="1"/>
            <a:t>contrat Vie</a:t>
          </a:r>
          <a:r>
            <a:rPr lang="fr-FR"/>
            <a:t> génère une provision nettement plus élevée, car le capital est versé en cas de survie, événement beaucoup plus probable sur cette période.</a:t>
          </a:r>
        </a:p>
        <a:p>
          <a:r>
            <a:rPr lang="fr-FR"/>
            <a:t>Le </a:t>
          </a:r>
          <a:r>
            <a:rPr lang="fr-FR" b="1"/>
            <a:t>contrat Mixte</a:t>
          </a:r>
          <a:r>
            <a:rPr lang="fr-FR"/>
            <a:t> affiche la provision la plus importante puisqu’il combine les garanties Décès et Vie, augmentant mécaniquement l’engagement global.</a:t>
          </a:r>
        </a:p>
        <a:p>
          <a:endParaRPr lang="fr-FR" b="1"/>
        </a:p>
        <a:p>
          <a:r>
            <a:rPr lang="fr-FR" b="1"/>
            <a:t>Conclusion :</a:t>
          </a:r>
          <a:r>
            <a:rPr lang="fr-FR"/>
            <a:t> Plus la garantie est certaine (comme en assurance Vie), plus la provision technique est élevée.</a:t>
          </a:r>
        </a:p>
      </xdr:txBody>
    </xdr:sp>
    <xdr:clientData/>
  </xdr:oneCellAnchor>
  <xdr:oneCellAnchor>
    <xdr:from>
      <xdr:col>8</xdr:col>
      <xdr:colOff>400049</xdr:colOff>
      <xdr:row>57</xdr:row>
      <xdr:rowOff>142876</xdr:rowOff>
    </xdr:from>
    <xdr:ext cx="6143626" cy="2009774"/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EEC96C4C-B173-DA8F-5369-D02BC2D54253}"/>
            </a:ext>
          </a:extLst>
        </xdr:cNvPr>
        <xdr:cNvSpPr txBox="1"/>
      </xdr:nvSpPr>
      <xdr:spPr>
        <a:xfrm>
          <a:off x="6496049" y="11010901"/>
          <a:ext cx="6143626" cy="20097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/>
            <a:t>Ce graphique montre la contribution de chaque sous-module de risque au SCR total.</a:t>
          </a:r>
        </a:p>
        <a:p>
          <a:endParaRPr lang="fr-FR"/>
        </a:p>
        <a:p>
          <a:r>
            <a:rPr lang="fr-FR"/>
            <a:t>Pour le </a:t>
          </a:r>
          <a:r>
            <a:rPr lang="fr-FR" b="1"/>
            <a:t>contrat Décès</a:t>
          </a:r>
          <a:r>
            <a:rPr lang="fr-FR"/>
            <a:t>, le risque dominant est la </a:t>
          </a:r>
          <a:r>
            <a:rPr lang="fr-FR" b="1"/>
            <a:t>mortalité</a:t>
          </a:r>
          <a:r>
            <a:rPr lang="fr-FR"/>
            <a:t>.</a:t>
          </a:r>
        </a:p>
        <a:p>
          <a:r>
            <a:rPr lang="fr-FR"/>
            <a:t>Pour les </a:t>
          </a:r>
          <a:r>
            <a:rPr lang="fr-FR" b="1"/>
            <a:t>contrats Vie et Mixte</a:t>
          </a:r>
          <a:r>
            <a:rPr lang="fr-FR"/>
            <a:t>, le risque principal est la </a:t>
          </a:r>
          <a:r>
            <a:rPr lang="fr-FR" b="1"/>
            <a:t>longévité</a:t>
          </a:r>
          <a:r>
            <a:rPr lang="fr-FR"/>
            <a:t>, car une augmentation de l’espérance de vie accroît les engagements.</a:t>
          </a:r>
        </a:p>
        <a:p>
          <a:r>
            <a:rPr lang="fr-FR"/>
            <a:t>Le </a:t>
          </a:r>
          <a:r>
            <a:rPr lang="fr-FR" b="1"/>
            <a:t>risque de rachat</a:t>
          </a:r>
          <a:r>
            <a:rPr lang="fr-FR"/>
            <a:t> reste secondaire dans les trois cas.</a:t>
          </a:r>
        </a:p>
        <a:p>
          <a:endParaRPr lang="fr-FR" b="1"/>
        </a:p>
        <a:p>
          <a:r>
            <a:rPr lang="fr-FR" b="1"/>
            <a:t>Conclusion :</a:t>
          </a:r>
          <a:br>
            <a:rPr lang="fr-FR"/>
          </a:br>
          <a:r>
            <a:rPr lang="fr-FR"/>
            <a:t>La nature du produit influence directement la structure du capital requis :</a:t>
          </a:r>
        </a:p>
        <a:p>
          <a:r>
            <a:rPr lang="fr-FR"/>
            <a:t>Assurance Décès → risque de mortalité</a:t>
          </a:r>
        </a:p>
        <a:p>
          <a:r>
            <a:rPr lang="fr-FR"/>
            <a:t>Assurance Vie → risque de longévité</a:t>
          </a:r>
        </a:p>
      </xdr:txBody>
    </xdr:sp>
    <xdr:clientData/>
  </xdr:oneCellAnchor>
  <xdr:twoCellAnchor>
    <xdr:from>
      <xdr:col>0</xdr:col>
      <xdr:colOff>127000</xdr:colOff>
      <xdr:row>0</xdr:row>
      <xdr:rowOff>127000</xdr:rowOff>
    </xdr:from>
    <xdr:to>
      <xdr:col>8</xdr:col>
      <xdr:colOff>381000</xdr:colOff>
      <xdr:row>20</xdr:row>
      <xdr:rowOff>117475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CA2A0B6-67A5-BDB1-60F8-430DB9B6F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508000</xdr:colOff>
      <xdr:row>0</xdr:row>
      <xdr:rowOff>127000</xdr:rowOff>
    </xdr:from>
    <xdr:to>
      <xdr:col>17</xdr:col>
      <xdr:colOff>0</xdr:colOff>
      <xdr:row>20</xdr:row>
      <xdr:rowOff>117475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E15DFD5-6F39-330D-C45A-3D0CDE863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21</xdr:row>
      <xdr:rowOff>53975</xdr:rowOff>
    </xdr:from>
    <xdr:to>
      <xdr:col>8</xdr:col>
      <xdr:colOff>381000</xdr:colOff>
      <xdr:row>41</xdr:row>
      <xdr:rowOff>53975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BD7170D-3964-2300-99CB-CAE64285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508000</xdr:colOff>
      <xdr:row>21</xdr:row>
      <xdr:rowOff>53975</xdr:rowOff>
    </xdr:from>
    <xdr:to>
      <xdr:col>17</xdr:col>
      <xdr:colOff>0</xdr:colOff>
      <xdr:row>41</xdr:row>
      <xdr:rowOff>53975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8577E6D-6D60-20FD-CA25-0E9B01908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95250</xdr:colOff>
      <xdr:row>42</xdr:row>
      <xdr:rowOff>19050</xdr:rowOff>
    </xdr:from>
    <xdr:to>
      <xdr:col>8</xdr:col>
      <xdr:colOff>295275</xdr:colOff>
      <xdr:row>57</xdr:row>
      <xdr:rowOff>38100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5B931D2-344F-4D1C-B93E-66D4B20A0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485775</xdr:colOff>
      <xdr:row>42</xdr:row>
      <xdr:rowOff>0</xdr:rowOff>
    </xdr:from>
    <xdr:to>
      <xdr:col>16</xdr:col>
      <xdr:colOff>485775</xdr:colOff>
      <xdr:row>57</xdr:row>
      <xdr:rowOff>57150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0D74761-C82E-4A1C-AAE6-92317356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ownloads\Graphiques_Solvabilite_II.xlsx" TargetMode="External"/><Relationship Id="rId1" Type="http://schemas.openxmlformats.org/officeDocument/2006/relationships/externalLinkPath" Target="Graphiques_Solvabilite_I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nnees_Graphiques"/>
    </sheetNames>
    <sheetDataSet>
      <sheetData sheetId="0">
        <row r="1">
          <cell r="F1" t="str">
            <v>Mortalite</v>
          </cell>
          <cell r="G1" t="str">
            <v>Longevite</v>
          </cell>
          <cell r="H1" t="str">
            <v>Rachat</v>
          </cell>
        </row>
        <row r="2">
          <cell r="A2" t="str">
            <v>Décès</v>
          </cell>
          <cell r="F2">
            <v>1200</v>
          </cell>
          <cell r="G2">
            <v>600</v>
          </cell>
          <cell r="H2">
            <v>269</v>
          </cell>
        </row>
        <row r="3">
          <cell r="A3" t="str">
            <v>Vie</v>
          </cell>
          <cell r="F3">
            <v>12000</v>
          </cell>
          <cell r="G3">
            <v>18000</v>
          </cell>
          <cell r="H3">
            <v>3435</v>
          </cell>
        </row>
        <row r="4">
          <cell r="A4" t="str">
            <v>Mixte</v>
          </cell>
          <cell r="F4">
            <v>13000</v>
          </cell>
          <cell r="G4">
            <v>19000</v>
          </cell>
          <cell r="H4">
            <v>3504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E81C-0A04-4844-987C-581AEEB4480F}">
  <sheetPr codeName="Feuil1">
    <tabColor theme="4" tint="-0.249977111117893"/>
  </sheetPr>
  <dimension ref="A1:K110"/>
  <sheetViews>
    <sheetView tabSelected="1" workbookViewId="0">
      <pane ySplit="1" topLeftCell="A2" activePane="bottomLeft" state="frozen"/>
      <selection pane="bottomLeft" activeCell="E13" sqref="E13"/>
    </sheetView>
  </sheetViews>
  <sheetFormatPr baseColWidth="10" defaultRowHeight="15" x14ac:dyDescent="0.25"/>
  <cols>
    <col min="2" max="2" width="14.85546875" customWidth="1"/>
    <col min="3" max="3" width="15.7109375" customWidth="1"/>
    <col min="4" max="4" width="13.140625" bestFit="1" customWidth="1"/>
    <col min="5" max="5" width="14.85546875" customWidth="1"/>
    <col min="6" max="6" width="16.42578125" customWidth="1"/>
    <col min="7" max="7" width="16.5703125" customWidth="1"/>
    <col min="8" max="8" width="15.28515625" customWidth="1"/>
    <col min="9" max="9" width="16.42578125" customWidth="1"/>
    <col min="10" max="10" width="14" customWidth="1"/>
    <col min="11" max="11" width="9.28515625" customWidth="1"/>
  </cols>
  <sheetData>
    <row r="1" spans="1:11" x14ac:dyDescent="0.25">
      <c r="A1" s="1" t="s">
        <v>8</v>
      </c>
      <c r="B1" s="2" t="s">
        <v>0</v>
      </c>
      <c r="C1" s="2" t="s">
        <v>3</v>
      </c>
      <c r="D1" s="2" t="s">
        <v>6</v>
      </c>
      <c r="E1" s="2" t="s">
        <v>1</v>
      </c>
      <c r="F1" s="2" t="s">
        <v>4</v>
      </c>
      <c r="G1" s="2" t="s">
        <v>11</v>
      </c>
      <c r="H1" s="2" t="s">
        <v>2</v>
      </c>
      <c r="I1" s="2" t="s">
        <v>5</v>
      </c>
      <c r="J1" s="2" t="s">
        <v>12</v>
      </c>
      <c r="K1" s="2" t="s">
        <v>7</v>
      </c>
    </row>
    <row r="2" spans="1:11" ht="30" x14ac:dyDescent="0.25">
      <c r="A2" s="3">
        <v>0</v>
      </c>
      <c r="B2" s="4">
        <v>3.9100000000000003E-3</v>
      </c>
      <c r="C2" s="6">
        <v>100000</v>
      </c>
      <c r="D2" s="8">
        <v>82.965000000000003</v>
      </c>
      <c r="E2" s="4">
        <v>3.5699999999999998E-3</v>
      </c>
      <c r="F2" s="6">
        <v>100000</v>
      </c>
      <c r="G2" s="8">
        <v>85.815399999999997</v>
      </c>
      <c r="H2" s="4">
        <v>4.2399999999999998E-3</v>
      </c>
      <c r="I2" s="6">
        <v>100000</v>
      </c>
      <c r="J2" s="8">
        <v>80.248099999999994</v>
      </c>
      <c r="K2" s="3" t="s">
        <v>9</v>
      </c>
    </row>
    <row r="3" spans="1:11" x14ac:dyDescent="0.25">
      <c r="A3">
        <v>1</v>
      </c>
      <c r="B3" s="5">
        <v>2.5999999999999998E-4</v>
      </c>
      <c r="C3" s="7">
        <v>99609</v>
      </c>
      <c r="D3" s="9">
        <v>82.288899999999998</v>
      </c>
      <c r="E3" s="5">
        <v>2.5999999999999998E-4</v>
      </c>
      <c r="F3" s="7">
        <v>99643</v>
      </c>
      <c r="G3" s="9">
        <v>85.120800000000003</v>
      </c>
      <c r="H3" s="5">
        <v>2.5999999999999998E-4</v>
      </c>
      <c r="I3" s="7">
        <v>99576</v>
      </c>
      <c r="J3" s="9">
        <v>79.587999999999994</v>
      </c>
    </row>
    <row r="4" spans="1:11" x14ac:dyDescent="0.25">
      <c r="A4">
        <v>2</v>
      </c>
      <c r="B4" s="5">
        <v>1.7000000000000001E-4</v>
      </c>
      <c r="C4" s="7">
        <v>99583</v>
      </c>
      <c r="D4" s="9">
        <v>81.310199999999995</v>
      </c>
      <c r="E4" s="5">
        <v>1.4999999999999999E-4</v>
      </c>
      <c r="F4" s="7">
        <v>99618</v>
      </c>
      <c r="G4" s="9">
        <v>84.142600000000002</v>
      </c>
      <c r="H4" s="5">
        <v>1.9000000000000001E-4</v>
      </c>
      <c r="I4" s="7">
        <v>99550</v>
      </c>
      <c r="J4" s="9">
        <v>78.608699999999999</v>
      </c>
    </row>
    <row r="5" spans="1:11" x14ac:dyDescent="0.25">
      <c r="A5">
        <v>3</v>
      </c>
      <c r="B5" s="5">
        <v>1.2E-4</v>
      </c>
      <c r="C5" s="7">
        <v>99566</v>
      </c>
      <c r="D5" s="9">
        <v>80.324100000000001</v>
      </c>
      <c r="E5" s="5">
        <v>9.0000000000000006E-5</v>
      </c>
      <c r="F5" s="7">
        <v>99603</v>
      </c>
      <c r="G5" s="9">
        <v>83.155100000000004</v>
      </c>
      <c r="H5" s="5">
        <v>1.4999999999999999E-4</v>
      </c>
      <c r="I5" s="7">
        <v>99530</v>
      </c>
      <c r="J5" s="9">
        <v>77.623800000000003</v>
      </c>
    </row>
    <row r="6" spans="1:11" x14ac:dyDescent="0.25">
      <c r="A6">
        <v>4</v>
      </c>
      <c r="B6" s="5">
        <v>1.1E-4</v>
      </c>
      <c r="C6" s="7">
        <v>99554</v>
      </c>
      <c r="D6" s="9">
        <v>79.333799999999997</v>
      </c>
      <c r="E6" s="5">
        <v>9.0000000000000006E-5</v>
      </c>
      <c r="F6" s="7">
        <v>99593</v>
      </c>
      <c r="G6" s="9">
        <v>82.162899999999993</v>
      </c>
      <c r="H6" s="5">
        <v>1.2999999999999999E-4</v>
      </c>
      <c r="I6" s="7">
        <v>99516</v>
      </c>
      <c r="J6" s="9">
        <v>76.635199999999998</v>
      </c>
    </row>
    <row r="7" spans="1:11" x14ac:dyDescent="0.25">
      <c r="A7">
        <v>5</v>
      </c>
      <c r="B7" s="5">
        <v>9.0000000000000006E-5</v>
      </c>
      <c r="C7" s="7">
        <v>99543</v>
      </c>
      <c r="D7" s="9">
        <v>78.342500000000001</v>
      </c>
      <c r="E7" s="5">
        <v>9.0000000000000006E-5</v>
      </c>
      <c r="F7" s="7">
        <v>99584</v>
      </c>
      <c r="G7" s="9">
        <v>81.170500000000004</v>
      </c>
      <c r="H7" s="5">
        <v>9.0000000000000006E-5</v>
      </c>
      <c r="I7" s="7">
        <v>99503</v>
      </c>
      <c r="J7" s="9">
        <v>75.644800000000004</v>
      </c>
    </row>
    <row r="8" spans="1:11" x14ac:dyDescent="0.25">
      <c r="A8">
        <v>6</v>
      </c>
      <c r="B8" s="5">
        <v>8.0000000000000007E-5</v>
      </c>
      <c r="C8" s="7">
        <v>99534</v>
      </c>
      <c r="D8" s="9">
        <v>77.349599999999995</v>
      </c>
      <c r="E8" s="5">
        <v>6.9999999999999994E-5</v>
      </c>
      <c r="F8" s="7">
        <v>99575</v>
      </c>
      <c r="G8" s="9">
        <v>80.177599999999998</v>
      </c>
      <c r="H8" s="5">
        <v>9.0000000000000006E-5</v>
      </c>
      <c r="I8" s="7">
        <v>99494</v>
      </c>
      <c r="J8" s="9">
        <v>74.651899999999998</v>
      </c>
    </row>
    <row r="9" spans="1:11" x14ac:dyDescent="0.25">
      <c r="A9">
        <v>7</v>
      </c>
      <c r="B9" s="5">
        <v>6.9999999999999994E-5</v>
      </c>
      <c r="C9" s="7">
        <v>99526</v>
      </c>
      <c r="D9" s="9">
        <v>76.355500000000006</v>
      </c>
      <c r="E9" s="5">
        <v>6.9999999999999994E-5</v>
      </c>
      <c r="F9" s="7">
        <v>99569</v>
      </c>
      <c r="G9" s="9">
        <v>79.183000000000007</v>
      </c>
      <c r="H9" s="5">
        <v>6.9999999999999994E-5</v>
      </c>
      <c r="I9" s="7">
        <v>99485</v>
      </c>
      <c r="J9" s="9">
        <v>73.658299999999997</v>
      </c>
    </row>
    <row r="10" spans="1:11" x14ac:dyDescent="0.25">
      <c r="A10">
        <v>8</v>
      </c>
      <c r="B10" s="5">
        <v>6.9999999999999994E-5</v>
      </c>
      <c r="C10" s="7">
        <v>99519</v>
      </c>
      <c r="D10" s="9">
        <v>75.360799999999998</v>
      </c>
      <c r="E10" s="5">
        <v>6.9999999999999994E-5</v>
      </c>
      <c r="F10" s="7">
        <v>99562</v>
      </c>
      <c r="G10" s="9">
        <v>78.188299999999998</v>
      </c>
      <c r="H10" s="5">
        <v>6.9999999999999994E-5</v>
      </c>
      <c r="I10" s="7">
        <v>99478</v>
      </c>
      <c r="J10" s="9">
        <v>72.663499999999999</v>
      </c>
    </row>
    <row r="11" spans="1:11" x14ac:dyDescent="0.25">
      <c r="A11">
        <v>9</v>
      </c>
      <c r="B11" s="5">
        <v>6.9999999999999994E-5</v>
      </c>
      <c r="C11" s="7">
        <v>99512</v>
      </c>
      <c r="D11" s="9">
        <v>74.366</v>
      </c>
      <c r="E11" s="5">
        <v>6.0000000000000002E-5</v>
      </c>
      <c r="F11" s="7">
        <v>99555</v>
      </c>
      <c r="G11" s="9">
        <v>77.193700000000007</v>
      </c>
      <c r="H11" s="5">
        <v>6.9999999999999994E-5</v>
      </c>
      <c r="I11" s="7">
        <v>99471</v>
      </c>
      <c r="J11" s="9">
        <v>71.668599999999998</v>
      </c>
    </row>
    <row r="12" spans="1:11" x14ac:dyDescent="0.25">
      <c r="A12">
        <v>10</v>
      </c>
      <c r="B12" s="5">
        <v>6.9999999999999994E-5</v>
      </c>
      <c r="C12" s="7">
        <v>99505</v>
      </c>
      <c r="D12" s="9">
        <v>73.370900000000006</v>
      </c>
      <c r="E12" s="5">
        <v>6.9999999999999994E-5</v>
      </c>
      <c r="F12" s="7">
        <v>99549</v>
      </c>
      <c r="G12" s="9">
        <v>76.198099999999997</v>
      </c>
      <c r="H12" s="5">
        <v>6.9999999999999994E-5</v>
      </c>
      <c r="I12" s="7">
        <v>99464</v>
      </c>
      <c r="J12" s="9">
        <v>70.673900000000003</v>
      </c>
    </row>
    <row r="13" spans="1:11" x14ac:dyDescent="0.25">
      <c r="A13">
        <v>11</v>
      </c>
      <c r="B13" s="5">
        <v>6.9999999999999994E-5</v>
      </c>
      <c r="C13" s="7">
        <v>99498</v>
      </c>
      <c r="D13" s="9">
        <v>72.376000000000005</v>
      </c>
      <c r="E13" s="5">
        <v>6.0000000000000002E-5</v>
      </c>
      <c r="F13" s="7">
        <v>99542</v>
      </c>
      <c r="G13" s="9">
        <v>75.203500000000005</v>
      </c>
      <c r="H13" s="5">
        <v>8.0000000000000007E-5</v>
      </c>
      <c r="I13" s="7">
        <v>99457</v>
      </c>
      <c r="J13" s="9">
        <v>69.678700000000006</v>
      </c>
    </row>
    <row r="14" spans="1:11" x14ac:dyDescent="0.25">
      <c r="A14">
        <v>12</v>
      </c>
      <c r="B14" s="5">
        <v>8.0000000000000007E-5</v>
      </c>
      <c r="C14" s="7">
        <v>99491</v>
      </c>
      <c r="D14" s="9">
        <v>71.381</v>
      </c>
      <c r="E14" s="5">
        <v>6.0000000000000002E-5</v>
      </c>
      <c r="F14" s="7">
        <v>99536</v>
      </c>
      <c r="G14" s="9">
        <v>74.207999999999998</v>
      </c>
      <c r="H14" s="5">
        <v>1E-4</v>
      </c>
      <c r="I14" s="7">
        <v>99449</v>
      </c>
      <c r="J14" s="9">
        <v>68.684200000000004</v>
      </c>
    </row>
    <row r="15" spans="1:11" x14ac:dyDescent="0.25">
      <c r="A15">
        <v>13</v>
      </c>
      <c r="B15" s="5">
        <v>1E-4</v>
      </c>
      <c r="C15" s="7">
        <v>99484</v>
      </c>
      <c r="D15" s="9">
        <v>70.386600000000001</v>
      </c>
      <c r="E15" s="5">
        <v>9.0000000000000006E-5</v>
      </c>
      <c r="F15" s="7">
        <v>99530</v>
      </c>
      <c r="G15" s="9">
        <v>73.212599999999995</v>
      </c>
      <c r="H15" s="5">
        <v>1.1E-4</v>
      </c>
      <c r="I15" s="7">
        <v>99439</v>
      </c>
      <c r="J15" s="9">
        <v>67.690700000000007</v>
      </c>
    </row>
    <row r="16" spans="1:11" x14ac:dyDescent="0.25">
      <c r="A16">
        <v>14</v>
      </c>
      <c r="B16" s="5">
        <v>1.2E-4</v>
      </c>
      <c r="C16" s="7">
        <v>99473</v>
      </c>
      <c r="D16" s="9">
        <v>69.393799999999999</v>
      </c>
      <c r="E16" s="5">
        <v>1.1E-4</v>
      </c>
      <c r="F16" s="7">
        <v>99521</v>
      </c>
      <c r="G16" s="9">
        <v>72.219300000000004</v>
      </c>
      <c r="H16" s="5">
        <v>1.3999999999999999E-4</v>
      </c>
      <c r="I16" s="7">
        <v>99428</v>
      </c>
      <c r="J16" s="9">
        <v>66.6982</v>
      </c>
    </row>
    <row r="17" spans="1:10" x14ac:dyDescent="0.25">
      <c r="A17">
        <v>15</v>
      </c>
      <c r="B17" s="5">
        <v>1.4999999999999999E-4</v>
      </c>
      <c r="C17" s="7">
        <v>99461</v>
      </c>
      <c r="D17" s="9">
        <v>68.402299999999997</v>
      </c>
      <c r="E17" s="5">
        <v>1.2E-4</v>
      </c>
      <c r="F17" s="7">
        <v>99510</v>
      </c>
      <c r="G17" s="9">
        <v>71.227099999999993</v>
      </c>
      <c r="H17" s="5">
        <v>1.8000000000000001E-4</v>
      </c>
      <c r="I17" s="7">
        <v>99415</v>
      </c>
      <c r="J17" s="9">
        <v>65.707300000000004</v>
      </c>
    </row>
    <row r="18" spans="1:10" x14ac:dyDescent="0.25">
      <c r="A18">
        <v>16</v>
      </c>
      <c r="B18" s="5">
        <v>2.0000000000000001E-4</v>
      </c>
      <c r="C18" s="7">
        <v>99446</v>
      </c>
      <c r="D18" s="9">
        <v>67.412800000000004</v>
      </c>
      <c r="E18" s="5">
        <v>1.2999999999999999E-4</v>
      </c>
      <c r="F18" s="7">
        <v>99498</v>
      </c>
      <c r="G18" s="9">
        <v>70.235799999999998</v>
      </c>
      <c r="H18" s="5">
        <v>2.5999999999999998E-4</v>
      </c>
      <c r="I18" s="7">
        <v>99396</v>
      </c>
      <c r="J18" s="9">
        <v>64.719300000000004</v>
      </c>
    </row>
    <row r="19" spans="1:10" x14ac:dyDescent="0.25">
      <c r="A19">
        <v>17</v>
      </c>
      <c r="B19" s="5">
        <v>2.2000000000000001E-4</v>
      </c>
      <c r="C19" s="7">
        <v>99426</v>
      </c>
      <c r="D19" s="9">
        <v>66.426000000000002</v>
      </c>
      <c r="E19" s="5">
        <v>1.2E-4</v>
      </c>
      <c r="F19" s="7">
        <v>99484</v>
      </c>
      <c r="G19" s="9">
        <v>69.245099999999994</v>
      </c>
      <c r="H19" s="5">
        <v>3.1E-4</v>
      </c>
      <c r="I19" s="7">
        <v>99370</v>
      </c>
      <c r="J19" s="9">
        <v>63.735999999999997</v>
      </c>
    </row>
    <row r="20" spans="1:10" x14ac:dyDescent="0.25">
      <c r="A20">
        <v>18</v>
      </c>
      <c r="B20" s="5">
        <v>3.1E-4</v>
      </c>
      <c r="C20" s="7">
        <v>99404</v>
      </c>
      <c r="D20" s="9">
        <v>65.440399999999997</v>
      </c>
      <c r="E20" s="5">
        <v>1.9000000000000001E-4</v>
      </c>
      <c r="F20" s="7">
        <v>99472</v>
      </c>
      <c r="G20" s="9">
        <v>68.253500000000003</v>
      </c>
      <c r="H20" s="5">
        <v>4.2000000000000002E-4</v>
      </c>
      <c r="I20" s="7">
        <v>99340</v>
      </c>
      <c r="J20" s="9">
        <v>62.755699999999997</v>
      </c>
    </row>
    <row r="21" spans="1:10" x14ac:dyDescent="0.25">
      <c r="A21">
        <v>19</v>
      </c>
      <c r="B21" s="5">
        <v>3.5E-4</v>
      </c>
      <c r="C21" s="7">
        <v>99374</v>
      </c>
      <c r="D21" s="9">
        <v>64.460599999999999</v>
      </c>
      <c r="E21" s="5">
        <v>1.9000000000000001E-4</v>
      </c>
      <c r="F21" s="7">
        <v>99453</v>
      </c>
      <c r="G21" s="9">
        <v>67.266499999999994</v>
      </c>
      <c r="H21" s="5">
        <v>5.0000000000000001E-4</v>
      </c>
      <c r="I21" s="7">
        <v>99297</v>
      </c>
      <c r="J21" s="9">
        <v>61.7821</v>
      </c>
    </row>
    <row r="22" spans="1:10" x14ac:dyDescent="0.25">
      <c r="A22">
        <v>20</v>
      </c>
      <c r="B22" s="5">
        <v>3.8000000000000002E-4</v>
      </c>
      <c r="C22" s="7">
        <v>99339</v>
      </c>
      <c r="D22" s="9">
        <v>63.482799999999997</v>
      </c>
      <c r="E22" s="5">
        <v>2.2000000000000001E-4</v>
      </c>
      <c r="F22" s="7">
        <v>99435</v>
      </c>
      <c r="G22" s="9">
        <v>66.2791</v>
      </c>
      <c r="H22" s="5">
        <v>5.4000000000000001E-4</v>
      </c>
      <c r="I22" s="7">
        <v>99248</v>
      </c>
      <c r="J22" s="9">
        <v>60.812600000000003</v>
      </c>
    </row>
    <row r="23" spans="1:10" x14ac:dyDescent="0.25">
      <c r="A23">
        <v>21</v>
      </c>
      <c r="B23" s="5">
        <v>4.0000000000000002E-4</v>
      </c>
      <c r="C23" s="7">
        <v>99301</v>
      </c>
      <c r="D23" s="9">
        <v>62.506900000000002</v>
      </c>
      <c r="E23" s="5">
        <v>1.9000000000000001E-4</v>
      </c>
      <c r="F23" s="7">
        <v>99412</v>
      </c>
      <c r="G23" s="9">
        <v>65.293700000000001</v>
      </c>
      <c r="H23" s="5">
        <v>5.9000000000000003E-4</v>
      </c>
      <c r="I23" s="7">
        <v>99195</v>
      </c>
      <c r="J23" s="9">
        <v>59.844999999999999</v>
      </c>
    </row>
    <row r="24" spans="1:10" x14ac:dyDescent="0.25">
      <c r="A24">
        <v>22</v>
      </c>
      <c r="B24" s="5">
        <v>4.0000000000000002E-4</v>
      </c>
      <c r="C24" s="7">
        <v>99262</v>
      </c>
      <c r="D24" s="9">
        <v>61.531500000000001</v>
      </c>
      <c r="E24" s="5">
        <v>2.1000000000000001E-4</v>
      </c>
      <c r="F24" s="7">
        <v>99393</v>
      </c>
      <c r="G24" s="9">
        <v>64.306200000000004</v>
      </c>
      <c r="H24" s="5">
        <v>5.8E-4</v>
      </c>
      <c r="I24" s="7">
        <v>99136</v>
      </c>
      <c r="J24" s="9">
        <v>58.879899999999999</v>
      </c>
    </row>
    <row r="25" spans="1:10" x14ac:dyDescent="0.25">
      <c r="A25">
        <v>23</v>
      </c>
      <c r="B25" s="5">
        <v>4.0000000000000002E-4</v>
      </c>
      <c r="C25" s="7">
        <v>99222</v>
      </c>
      <c r="D25" s="9">
        <v>60.555799999999998</v>
      </c>
      <c r="E25" s="5">
        <v>2.1000000000000001E-4</v>
      </c>
      <c r="F25" s="7">
        <v>99372</v>
      </c>
      <c r="G25" s="9">
        <v>63.319699999999997</v>
      </c>
      <c r="H25" s="5">
        <v>5.8E-4</v>
      </c>
      <c r="I25" s="7">
        <v>99079</v>
      </c>
      <c r="J25" s="9">
        <v>57.913699999999999</v>
      </c>
    </row>
    <row r="26" spans="1:10" x14ac:dyDescent="0.25">
      <c r="A26">
        <v>24</v>
      </c>
      <c r="B26" s="5">
        <v>4.0999999999999999E-4</v>
      </c>
      <c r="C26" s="7">
        <v>99182</v>
      </c>
      <c r="D26" s="9">
        <v>59.579799999999999</v>
      </c>
      <c r="E26" s="5">
        <v>2.2000000000000001E-4</v>
      </c>
      <c r="F26" s="7">
        <v>99351</v>
      </c>
      <c r="G26" s="9">
        <v>62.332799999999999</v>
      </c>
      <c r="H26" s="5">
        <v>5.9000000000000003E-4</v>
      </c>
      <c r="I26" s="7">
        <v>99021</v>
      </c>
      <c r="J26" s="9">
        <v>56.947200000000002</v>
      </c>
    </row>
    <row r="27" spans="1:10" x14ac:dyDescent="0.25">
      <c r="A27">
        <v>25</v>
      </c>
      <c r="B27" s="5">
        <v>4.2000000000000002E-4</v>
      </c>
      <c r="C27" s="7">
        <v>99142</v>
      </c>
      <c r="D27" s="9">
        <v>58.604100000000003</v>
      </c>
      <c r="E27" s="5">
        <v>2.5000000000000001E-4</v>
      </c>
      <c r="F27" s="7">
        <v>99329</v>
      </c>
      <c r="G27" s="9">
        <v>61.346699999999998</v>
      </c>
      <c r="H27" s="5">
        <v>5.9000000000000003E-4</v>
      </c>
      <c r="I27" s="7">
        <v>98963</v>
      </c>
      <c r="J27" s="9">
        <v>55.9803</v>
      </c>
    </row>
    <row r="28" spans="1:10" x14ac:dyDescent="0.25">
      <c r="A28">
        <v>26</v>
      </c>
      <c r="B28" s="5">
        <v>4.2999999999999999E-4</v>
      </c>
      <c r="C28" s="7">
        <v>99100</v>
      </c>
      <c r="D28" s="9">
        <v>57.628599999999999</v>
      </c>
      <c r="E28" s="5">
        <v>2.1000000000000001E-4</v>
      </c>
      <c r="F28" s="7">
        <v>99304</v>
      </c>
      <c r="G28" s="9">
        <v>60.361899999999999</v>
      </c>
      <c r="H28" s="5">
        <v>6.4000000000000005E-4</v>
      </c>
      <c r="I28" s="7">
        <v>98905</v>
      </c>
      <c r="J28" s="9">
        <v>55.012900000000002</v>
      </c>
    </row>
    <row r="29" spans="1:10" x14ac:dyDescent="0.25">
      <c r="A29">
        <v>27</v>
      </c>
      <c r="B29" s="5">
        <v>4.4999999999999999E-4</v>
      </c>
      <c r="C29" s="7">
        <v>99057</v>
      </c>
      <c r="D29" s="9">
        <v>56.653100000000002</v>
      </c>
      <c r="E29" s="5">
        <v>2.3000000000000001E-4</v>
      </c>
      <c r="F29" s="7">
        <v>99283</v>
      </c>
      <c r="G29" s="9">
        <v>59.374499999999998</v>
      </c>
      <c r="H29" s="5">
        <v>6.6E-4</v>
      </c>
      <c r="I29" s="7">
        <v>98842</v>
      </c>
      <c r="J29" s="9">
        <v>54.047699999999999</v>
      </c>
    </row>
    <row r="30" spans="1:10" x14ac:dyDescent="0.25">
      <c r="A30">
        <v>28</v>
      </c>
      <c r="B30" s="5">
        <v>5.0000000000000001E-4</v>
      </c>
      <c r="C30" s="7">
        <v>99012</v>
      </c>
      <c r="D30" s="9">
        <v>55.678600000000003</v>
      </c>
      <c r="E30" s="5">
        <v>2.5999999999999998E-4</v>
      </c>
      <c r="F30" s="7">
        <v>99260</v>
      </c>
      <c r="G30" s="9">
        <v>58.388300000000001</v>
      </c>
      <c r="H30" s="5">
        <v>7.2999999999999996E-4</v>
      </c>
      <c r="I30" s="7">
        <v>98776</v>
      </c>
      <c r="J30" s="9">
        <v>53.083300000000001</v>
      </c>
    </row>
    <row r="31" spans="1:10" x14ac:dyDescent="0.25">
      <c r="A31">
        <v>29</v>
      </c>
      <c r="B31" s="5">
        <v>4.8999999999999998E-4</v>
      </c>
      <c r="C31" s="7">
        <v>98963</v>
      </c>
      <c r="D31" s="9">
        <v>54.706200000000003</v>
      </c>
      <c r="E31" s="5">
        <v>2.5999999999999998E-4</v>
      </c>
      <c r="F31" s="7">
        <v>99235</v>
      </c>
      <c r="G31" s="9">
        <v>57.403100000000002</v>
      </c>
      <c r="H31" s="5">
        <v>6.9999999999999999E-4</v>
      </c>
      <c r="I31" s="7">
        <v>98704</v>
      </c>
      <c r="J31" s="9">
        <v>52.121899999999997</v>
      </c>
    </row>
    <row r="32" spans="1:10" x14ac:dyDescent="0.25">
      <c r="A32">
        <v>30</v>
      </c>
      <c r="B32" s="5">
        <v>5.1999999999999995E-4</v>
      </c>
      <c r="C32" s="7">
        <v>98915</v>
      </c>
      <c r="D32" s="9">
        <v>53.732500000000002</v>
      </c>
      <c r="E32" s="5">
        <v>2.7E-4</v>
      </c>
      <c r="F32" s="7">
        <v>99209</v>
      </c>
      <c r="G32" s="9">
        <v>56.417999999999999</v>
      </c>
      <c r="H32" s="5">
        <v>7.6000000000000004E-4</v>
      </c>
      <c r="I32" s="7">
        <v>98635</v>
      </c>
      <c r="J32" s="9">
        <v>51.158099999999997</v>
      </c>
    </row>
    <row r="33" spans="1:10" x14ac:dyDescent="0.25">
      <c r="A33">
        <v>31</v>
      </c>
      <c r="B33" s="5">
        <v>5.5999999999999995E-4</v>
      </c>
      <c r="C33" s="7">
        <v>98863</v>
      </c>
      <c r="D33" s="9">
        <v>52.760399999999997</v>
      </c>
      <c r="E33" s="5">
        <v>3.3E-4</v>
      </c>
      <c r="F33" s="7">
        <v>99182</v>
      </c>
      <c r="G33" s="9">
        <v>55.433100000000003</v>
      </c>
      <c r="H33" s="5">
        <v>7.7999999999999999E-4</v>
      </c>
      <c r="I33" s="7">
        <v>98559</v>
      </c>
      <c r="J33" s="9">
        <v>50.196800000000003</v>
      </c>
    </row>
    <row r="34" spans="1:10" x14ac:dyDescent="0.25">
      <c r="A34">
        <v>32</v>
      </c>
      <c r="B34" s="5">
        <v>5.5000000000000003E-4</v>
      </c>
      <c r="C34" s="7">
        <v>98808</v>
      </c>
      <c r="D34" s="9">
        <v>51.789700000000003</v>
      </c>
      <c r="E34" s="5">
        <v>3.3E-4</v>
      </c>
      <c r="F34" s="7">
        <v>99149</v>
      </c>
      <c r="G34" s="9">
        <v>54.4512</v>
      </c>
      <c r="H34" s="5">
        <v>7.6000000000000004E-4</v>
      </c>
      <c r="I34" s="7">
        <v>98482</v>
      </c>
      <c r="J34" s="9">
        <v>49.235700000000001</v>
      </c>
    </row>
    <row r="35" spans="1:10" x14ac:dyDescent="0.25">
      <c r="A35">
        <v>33</v>
      </c>
      <c r="B35" s="5">
        <v>6.2E-4</v>
      </c>
      <c r="C35" s="7">
        <v>98753</v>
      </c>
      <c r="D35" s="9">
        <v>50.817999999999998</v>
      </c>
      <c r="E35" s="5">
        <v>3.6000000000000002E-4</v>
      </c>
      <c r="F35" s="7">
        <v>99117</v>
      </c>
      <c r="G35" s="9">
        <v>53.469099999999997</v>
      </c>
      <c r="H35" s="5">
        <v>8.7000000000000001E-4</v>
      </c>
      <c r="I35" s="7">
        <v>98407</v>
      </c>
      <c r="J35" s="9">
        <v>48.273000000000003</v>
      </c>
    </row>
    <row r="36" spans="1:10" x14ac:dyDescent="0.25">
      <c r="A36">
        <v>34</v>
      </c>
      <c r="B36" s="5">
        <v>6.4999999999999997E-4</v>
      </c>
      <c r="C36" s="7">
        <v>98692</v>
      </c>
      <c r="D36" s="9">
        <v>49.849200000000003</v>
      </c>
      <c r="E36" s="5">
        <v>3.6999999999999999E-4</v>
      </c>
      <c r="F36" s="7">
        <v>99081</v>
      </c>
      <c r="G36" s="9">
        <v>52.488300000000002</v>
      </c>
      <c r="H36" s="5">
        <v>9.3000000000000005E-4</v>
      </c>
      <c r="I36" s="7">
        <v>98322</v>
      </c>
      <c r="J36" s="9">
        <v>47.314399999999999</v>
      </c>
    </row>
    <row r="37" spans="1:10" x14ac:dyDescent="0.25">
      <c r="A37">
        <v>35</v>
      </c>
      <c r="B37" s="5">
        <v>7.1000000000000002E-4</v>
      </c>
      <c r="C37" s="7">
        <v>98628</v>
      </c>
      <c r="D37" s="9">
        <v>48.881500000000003</v>
      </c>
      <c r="E37" s="5">
        <v>4.2000000000000002E-4</v>
      </c>
      <c r="F37" s="7">
        <v>99044</v>
      </c>
      <c r="G37" s="9">
        <v>51.507300000000001</v>
      </c>
      <c r="H37" s="5">
        <v>9.8999999999999999E-4</v>
      </c>
      <c r="I37" s="7">
        <v>98230</v>
      </c>
      <c r="J37" s="9">
        <v>46.357999999999997</v>
      </c>
    </row>
    <row r="38" spans="1:10" x14ac:dyDescent="0.25">
      <c r="A38">
        <v>36</v>
      </c>
      <c r="B38" s="5">
        <v>7.7999999999999999E-4</v>
      </c>
      <c r="C38" s="7">
        <v>98557</v>
      </c>
      <c r="D38" s="9">
        <v>47.915999999999997</v>
      </c>
      <c r="E38" s="5">
        <v>4.6999999999999999E-4</v>
      </c>
      <c r="F38" s="7">
        <v>99003</v>
      </c>
      <c r="G38" s="9">
        <v>50.528799999999997</v>
      </c>
      <c r="H38" s="5">
        <v>1.08E-3</v>
      </c>
      <c r="I38" s="7">
        <v>98133</v>
      </c>
      <c r="J38" s="9">
        <v>45.403500000000001</v>
      </c>
    </row>
    <row r="39" spans="1:10" x14ac:dyDescent="0.25">
      <c r="A39">
        <v>37</v>
      </c>
      <c r="B39" s="5">
        <v>8.5999999999999998E-4</v>
      </c>
      <c r="C39" s="7">
        <v>98480</v>
      </c>
      <c r="D39" s="9">
        <v>46.953099999999999</v>
      </c>
      <c r="E39" s="5">
        <v>5.2999999999999998E-4</v>
      </c>
      <c r="F39" s="7">
        <v>98956</v>
      </c>
      <c r="G39" s="9">
        <v>49.552500000000002</v>
      </c>
      <c r="H39" s="5">
        <v>1.17E-3</v>
      </c>
      <c r="I39" s="7">
        <v>98027</v>
      </c>
      <c r="J39" s="9">
        <v>44.452199999999998</v>
      </c>
    </row>
    <row r="40" spans="1:10" x14ac:dyDescent="0.25">
      <c r="A40">
        <v>38</v>
      </c>
      <c r="B40" s="5">
        <v>9.1E-4</v>
      </c>
      <c r="C40" s="7">
        <v>98396</v>
      </c>
      <c r="D40" s="9">
        <v>45.992899999999999</v>
      </c>
      <c r="E40" s="5">
        <v>5.5999999999999995E-4</v>
      </c>
      <c r="F40" s="7">
        <v>98904</v>
      </c>
      <c r="G40" s="9">
        <v>48.578299999999999</v>
      </c>
      <c r="H40" s="5">
        <v>1.25E-3</v>
      </c>
      <c r="I40" s="7">
        <v>97912</v>
      </c>
      <c r="J40" s="9">
        <v>43.503700000000002</v>
      </c>
    </row>
    <row r="41" spans="1:10" x14ac:dyDescent="0.25">
      <c r="A41">
        <v>39</v>
      </c>
      <c r="B41" s="5">
        <v>1.01E-3</v>
      </c>
      <c r="C41" s="7">
        <v>98306</v>
      </c>
      <c r="D41" s="9">
        <v>45.034300000000002</v>
      </c>
      <c r="E41" s="5">
        <v>6.3000000000000003E-4</v>
      </c>
      <c r="F41" s="7">
        <v>98849</v>
      </c>
      <c r="G41" s="9">
        <v>47.6051</v>
      </c>
      <c r="H41" s="5">
        <v>1.3799999999999999E-3</v>
      </c>
      <c r="I41" s="7">
        <v>97790</v>
      </c>
      <c r="J41" s="9">
        <v>42.557499999999997</v>
      </c>
    </row>
    <row r="42" spans="1:10" x14ac:dyDescent="0.25">
      <c r="A42">
        <v>40</v>
      </c>
      <c r="B42" s="5">
        <v>1.08E-3</v>
      </c>
      <c r="C42" s="7">
        <v>98207</v>
      </c>
      <c r="D42" s="9">
        <v>44.079500000000003</v>
      </c>
      <c r="E42" s="5">
        <v>6.7000000000000002E-4</v>
      </c>
      <c r="F42" s="7">
        <v>98787</v>
      </c>
      <c r="G42" s="9">
        <v>46.634700000000002</v>
      </c>
      <c r="H42" s="5">
        <v>1.47E-3</v>
      </c>
      <c r="I42" s="7">
        <v>97654</v>
      </c>
      <c r="J42" s="9">
        <v>41.6158</v>
      </c>
    </row>
    <row r="43" spans="1:10" x14ac:dyDescent="0.25">
      <c r="A43">
        <v>41</v>
      </c>
      <c r="B43" s="5">
        <v>1.1800000000000001E-3</v>
      </c>
      <c r="C43" s="7">
        <v>98101</v>
      </c>
      <c r="D43" s="9">
        <v>43.1265</v>
      </c>
      <c r="E43" s="5">
        <v>7.5000000000000002E-4</v>
      </c>
      <c r="F43" s="7">
        <v>98720</v>
      </c>
      <c r="G43" s="9">
        <v>45.665799999999997</v>
      </c>
      <c r="H43" s="5">
        <v>1.6000000000000001E-3</v>
      </c>
      <c r="I43" s="7">
        <v>97511</v>
      </c>
      <c r="J43" s="9">
        <v>40.676200000000001</v>
      </c>
    </row>
    <row r="44" spans="1:10" x14ac:dyDescent="0.25">
      <c r="A44">
        <v>42</v>
      </c>
      <c r="B44" s="5">
        <v>1.2600000000000001E-3</v>
      </c>
      <c r="C44" s="7">
        <v>97985</v>
      </c>
      <c r="D44" s="9">
        <v>42.176900000000003</v>
      </c>
      <c r="E44" s="5">
        <v>8.0999999999999996E-4</v>
      </c>
      <c r="F44" s="7">
        <v>98646</v>
      </c>
      <c r="G44" s="9">
        <v>44.6997</v>
      </c>
      <c r="H44" s="5">
        <v>1.6900000000000001E-3</v>
      </c>
      <c r="I44" s="7">
        <v>97355</v>
      </c>
      <c r="J44" s="9">
        <v>39.740499999999997</v>
      </c>
    </row>
    <row r="45" spans="1:10" x14ac:dyDescent="0.25">
      <c r="A45">
        <v>43</v>
      </c>
      <c r="B45" s="5">
        <v>1.3500000000000001E-3</v>
      </c>
      <c r="C45" s="7">
        <v>97862</v>
      </c>
      <c r="D45" s="9">
        <v>41.229300000000002</v>
      </c>
      <c r="E45" s="5">
        <v>8.4999999999999995E-4</v>
      </c>
      <c r="F45" s="7">
        <v>98566</v>
      </c>
      <c r="G45" s="9">
        <v>43.735399999999998</v>
      </c>
      <c r="H45" s="5">
        <v>1.8500000000000001E-3</v>
      </c>
      <c r="I45" s="7">
        <v>97191</v>
      </c>
      <c r="J45" s="9">
        <v>38.806800000000003</v>
      </c>
    </row>
    <row r="46" spans="1:10" x14ac:dyDescent="0.25">
      <c r="A46">
        <v>44</v>
      </c>
      <c r="B46" s="5">
        <v>1.4599999999999999E-3</v>
      </c>
      <c r="C46" s="7">
        <v>97730</v>
      </c>
      <c r="D46" s="9">
        <v>40.284500000000001</v>
      </c>
      <c r="E46" s="5">
        <v>9.2000000000000003E-4</v>
      </c>
      <c r="F46" s="7">
        <v>98483</v>
      </c>
      <c r="G46" s="9">
        <v>42.772100000000002</v>
      </c>
      <c r="H46" s="5">
        <v>1.98E-3</v>
      </c>
      <c r="I46" s="7">
        <v>97012</v>
      </c>
      <c r="J46" s="9">
        <v>37.877600000000001</v>
      </c>
    </row>
    <row r="47" spans="1:10" x14ac:dyDescent="0.25">
      <c r="A47">
        <v>45</v>
      </c>
      <c r="B47" s="5">
        <v>1.6299999999999999E-3</v>
      </c>
      <c r="C47" s="7">
        <v>97587</v>
      </c>
      <c r="D47" s="9">
        <v>39.342599999999997</v>
      </c>
      <c r="E47" s="5">
        <v>1.07E-3</v>
      </c>
      <c r="F47" s="7">
        <v>98392</v>
      </c>
      <c r="G47" s="9">
        <v>41.811</v>
      </c>
      <c r="H47" s="5">
        <v>2.1700000000000001E-3</v>
      </c>
      <c r="I47" s="7">
        <v>96820</v>
      </c>
      <c r="J47" s="9">
        <v>36.951599999999999</v>
      </c>
    </row>
    <row r="48" spans="1:10" x14ac:dyDescent="0.25">
      <c r="A48">
        <v>46</v>
      </c>
      <c r="B48" s="5">
        <v>1.73E-3</v>
      </c>
      <c r="C48" s="7">
        <v>97428</v>
      </c>
      <c r="D48" s="9">
        <v>38.406100000000002</v>
      </c>
      <c r="E48" s="5">
        <v>1.16E-3</v>
      </c>
      <c r="F48" s="7">
        <v>98287</v>
      </c>
      <c r="G48" s="9">
        <v>40.855400000000003</v>
      </c>
      <c r="H48" s="5">
        <v>2.2899999999999999E-3</v>
      </c>
      <c r="I48" s="7">
        <v>96609</v>
      </c>
      <c r="J48" s="9">
        <v>36.030999999999999</v>
      </c>
    </row>
    <row r="49" spans="1:10" x14ac:dyDescent="0.25">
      <c r="A49">
        <v>47</v>
      </c>
      <c r="B49" s="5">
        <v>1.8699999999999999E-3</v>
      </c>
      <c r="C49" s="7">
        <v>97259</v>
      </c>
      <c r="D49" s="9">
        <v>37.471899999999998</v>
      </c>
      <c r="E49" s="5">
        <v>1.2800000000000001E-3</v>
      </c>
      <c r="F49" s="7">
        <v>98173</v>
      </c>
      <c r="G49" s="9">
        <v>39.902200000000001</v>
      </c>
      <c r="H49" s="5">
        <v>2.4399999999999999E-3</v>
      </c>
      <c r="I49" s="7">
        <v>96388</v>
      </c>
      <c r="J49" s="9">
        <v>35.112699999999997</v>
      </c>
    </row>
    <row r="50" spans="1:10" x14ac:dyDescent="0.25">
      <c r="A50">
        <v>48</v>
      </c>
      <c r="B50" s="5">
        <v>2.0699999999999998E-3</v>
      </c>
      <c r="C50" s="7">
        <v>97077</v>
      </c>
      <c r="D50" s="9">
        <v>36.5413</v>
      </c>
      <c r="E50" s="5">
        <v>1.3799999999999999E-3</v>
      </c>
      <c r="F50" s="7">
        <v>98047</v>
      </c>
      <c r="G50" s="9">
        <v>38.952800000000003</v>
      </c>
      <c r="H50" s="5">
        <v>2.7399999999999998E-3</v>
      </c>
      <c r="I50" s="7">
        <v>96152</v>
      </c>
      <c r="J50" s="9">
        <v>34.197499999999998</v>
      </c>
    </row>
    <row r="51" spans="1:10" x14ac:dyDescent="0.25">
      <c r="A51">
        <v>49</v>
      </c>
      <c r="B51" s="5">
        <v>2.31E-3</v>
      </c>
      <c r="C51" s="7">
        <v>96876</v>
      </c>
      <c r="D51" s="9">
        <v>35.616</v>
      </c>
      <c r="E51" s="5">
        <v>1.58E-3</v>
      </c>
      <c r="F51" s="7">
        <v>97912</v>
      </c>
      <c r="G51" s="9">
        <v>38.005899999999997</v>
      </c>
      <c r="H51" s="5">
        <v>3.0100000000000001E-3</v>
      </c>
      <c r="I51" s="7">
        <v>95889</v>
      </c>
      <c r="J51" s="9">
        <v>33.290199999999999</v>
      </c>
    </row>
    <row r="52" spans="1:10" x14ac:dyDescent="0.25">
      <c r="A52">
        <v>50</v>
      </c>
      <c r="B52" s="5">
        <v>2.5699999999999998E-3</v>
      </c>
      <c r="C52" s="7">
        <v>96653</v>
      </c>
      <c r="D52" s="9">
        <v>34.697200000000002</v>
      </c>
      <c r="E52" s="5">
        <v>1.7600000000000001E-3</v>
      </c>
      <c r="F52" s="7">
        <v>97757</v>
      </c>
      <c r="G52" s="9">
        <v>37.065399999999997</v>
      </c>
      <c r="H52" s="5">
        <v>3.3500000000000001E-3</v>
      </c>
      <c r="I52" s="7">
        <v>95600</v>
      </c>
      <c r="J52" s="9">
        <v>32.389099999999999</v>
      </c>
    </row>
    <row r="53" spans="1:10" x14ac:dyDescent="0.25">
      <c r="A53">
        <v>51</v>
      </c>
      <c r="B53" s="5">
        <v>2.7899999999999999E-3</v>
      </c>
      <c r="C53" s="7">
        <v>96404</v>
      </c>
      <c r="D53" s="9">
        <v>33.785200000000003</v>
      </c>
      <c r="E53" s="5">
        <v>1.9300000000000001E-3</v>
      </c>
      <c r="F53" s="7">
        <v>97584</v>
      </c>
      <c r="G53" s="9">
        <v>36.129899999999999</v>
      </c>
      <c r="H53" s="5">
        <v>3.63E-3</v>
      </c>
      <c r="I53" s="7">
        <v>95280</v>
      </c>
      <c r="J53" s="9">
        <v>31.496300000000002</v>
      </c>
    </row>
    <row r="54" spans="1:10" x14ac:dyDescent="0.25">
      <c r="A54">
        <v>52</v>
      </c>
      <c r="B54" s="5">
        <v>3.0999999999999999E-3</v>
      </c>
      <c r="C54" s="7">
        <v>96136</v>
      </c>
      <c r="D54" s="9">
        <v>32.878300000000003</v>
      </c>
      <c r="E54" s="5">
        <v>2.1199999999999999E-3</v>
      </c>
      <c r="F54" s="7">
        <v>97396</v>
      </c>
      <c r="G54" s="9">
        <v>35.198799999999999</v>
      </c>
      <c r="H54" s="5">
        <v>4.0600000000000002E-3</v>
      </c>
      <c r="I54" s="7">
        <v>94934</v>
      </c>
      <c r="J54" s="9">
        <v>30.609200000000001</v>
      </c>
    </row>
    <row r="55" spans="1:10" x14ac:dyDescent="0.25">
      <c r="A55">
        <v>53</v>
      </c>
      <c r="B55" s="5">
        <v>3.3899999999999998E-3</v>
      </c>
      <c r="C55" s="7">
        <v>95838</v>
      </c>
      <c r="D55" s="9">
        <v>31.978999999999999</v>
      </c>
      <c r="E55" s="5">
        <v>2.2499999999999998E-3</v>
      </c>
      <c r="F55" s="7">
        <v>97190</v>
      </c>
      <c r="G55" s="9">
        <v>34.272500000000001</v>
      </c>
      <c r="H55" s="5">
        <v>4.5100000000000001E-3</v>
      </c>
      <c r="I55" s="7">
        <v>94549</v>
      </c>
      <c r="J55" s="9">
        <v>29.7319</v>
      </c>
    </row>
    <row r="56" spans="1:10" x14ac:dyDescent="0.25">
      <c r="A56">
        <v>54</v>
      </c>
      <c r="B56" s="5">
        <v>3.6700000000000001E-3</v>
      </c>
      <c r="C56" s="7">
        <v>95513</v>
      </c>
      <c r="D56" s="9">
        <v>31.086099999999998</v>
      </c>
      <c r="E56" s="5">
        <v>2.4099999999999998E-3</v>
      </c>
      <c r="F56" s="7">
        <v>96971</v>
      </c>
      <c r="G56" s="9">
        <v>33.348599999999998</v>
      </c>
      <c r="H56" s="5">
        <v>4.9100000000000003E-3</v>
      </c>
      <c r="I56" s="7">
        <v>94122</v>
      </c>
      <c r="J56" s="9">
        <v>28.8643</v>
      </c>
    </row>
    <row r="57" spans="1:10" x14ac:dyDescent="0.25">
      <c r="A57">
        <v>55</v>
      </c>
      <c r="B57" s="5">
        <v>4.0299999999999997E-3</v>
      </c>
      <c r="C57" s="7">
        <v>95162</v>
      </c>
      <c r="D57" s="9">
        <v>30.198699999999999</v>
      </c>
      <c r="E57" s="5">
        <v>2.7499999999999998E-3</v>
      </c>
      <c r="F57" s="7">
        <v>96738</v>
      </c>
      <c r="G57" s="9">
        <v>32.427900000000001</v>
      </c>
      <c r="H57" s="5">
        <v>5.2900000000000004E-3</v>
      </c>
      <c r="I57" s="7">
        <v>93661</v>
      </c>
      <c r="J57" s="9">
        <v>28.004200000000001</v>
      </c>
    </row>
    <row r="58" spans="1:10" x14ac:dyDescent="0.25">
      <c r="A58">
        <v>56</v>
      </c>
      <c r="B58" s="5">
        <v>4.3899999999999998E-3</v>
      </c>
      <c r="C58" s="7">
        <v>94779</v>
      </c>
      <c r="D58" s="9">
        <v>29.318899999999999</v>
      </c>
      <c r="E58" s="5">
        <v>2.96E-3</v>
      </c>
      <c r="F58" s="7">
        <v>96472</v>
      </c>
      <c r="G58" s="9">
        <v>31.515799999999999</v>
      </c>
      <c r="H58" s="5">
        <v>5.79E-3</v>
      </c>
      <c r="I58" s="7">
        <v>93165</v>
      </c>
      <c r="J58" s="9">
        <v>27.150600000000001</v>
      </c>
    </row>
    <row r="59" spans="1:10" x14ac:dyDescent="0.25">
      <c r="A59">
        <v>57</v>
      </c>
      <c r="B59" s="5">
        <v>4.81E-3</v>
      </c>
      <c r="C59" s="7">
        <v>94363</v>
      </c>
      <c r="D59" s="9">
        <v>28.445900000000002</v>
      </c>
      <c r="E59" s="5">
        <v>3.29E-3</v>
      </c>
      <c r="F59" s="7">
        <v>96186</v>
      </c>
      <c r="G59" s="9">
        <v>30.608000000000001</v>
      </c>
      <c r="H59" s="5">
        <v>6.3099999999999996E-3</v>
      </c>
      <c r="I59" s="7">
        <v>92625</v>
      </c>
      <c r="J59" s="9">
        <v>26.305900000000001</v>
      </c>
    </row>
    <row r="60" spans="1:10" x14ac:dyDescent="0.25">
      <c r="A60">
        <v>58</v>
      </c>
      <c r="B60" s="5">
        <v>5.2199999999999998E-3</v>
      </c>
      <c r="C60" s="7">
        <v>93909</v>
      </c>
      <c r="D60" s="9">
        <v>27.5809</v>
      </c>
      <c r="E60" s="5">
        <v>3.5500000000000002E-3</v>
      </c>
      <c r="F60" s="7">
        <v>95869</v>
      </c>
      <c r="G60" s="9">
        <v>29.7075</v>
      </c>
      <c r="H60" s="5">
        <v>6.8700000000000002E-3</v>
      </c>
      <c r="I60" s="7">
        <v>92041</v>
      </c>
      <c r="J60" s="9">
        <v>25.4697</v>
      </c>
    </row>
    <row r="61" spans="1:10" x14ac:dyDescent="0.25">
      <c r="A61">
        <v>59</v>
      </c>
      <c r="B61" s="5">
        <v>5.5500000000000002E-3</v>
      </c>
      <c r="C61" s="7">
        <v>93419</v>
      </c>
      <c r="D61" s="9">
        <v>26.722999999999999</v>
      </c>
      <c r="E61" s="5">
        <v>3.8E-3</v>
      </c>
      <c r="F61" s="7">
        <v>95529</v>
      </c>
      <c r="G61" s="9">
        <v>28.811499999999999</v>
      </c>
      <c r="H61" s="5">
        <v>7.2899999999999996E-3</v>
      </c>
      <c r="I61" s="7">
        <v>91408</v>
      </c>
      <c r="J61" s="9">
        <v>24.642600000000002</v>
      </c>
    </row>
    <row r="62" spans="1:10" x14ac:dyDescent="0.25">
      <c r="A62">
        <v>60</v>
      </c>
      <c r="B62" s="5">
        <v>6.0800000000000003E-3</v>
      </c>
      <c r="C62" s="7">
        <v>92901</v>
      </c>
      <c r="D62" s="9">
        <v>25.869299999999999</v>
      </c>
      <c r="E62" s="5">
        <v>4.13E-3</v>
      </c>
      <c r="F62" s="7">
        <v>95166</v>
      </c>
      <c r="G62" s="9">
        <v>27.919599999999999</v>
      </c>
      <c r="H62" s="5">
        <v>8.0300000000000007E-3</v>
      </c>
      <c r="I62" s="7">
        <v>90742</v>
      </c>
      <c r="J62" s="9">
        <v>23.819800000000001</v>
      </c>
    </row>
    <row r="63" spans="1:10" x14ac:dyDescent="0.25">
      <c r="A63">
        <v>61</v>
      </c>
      <c r="B63" s="5">
        <v>6.6400000000000001E-3</v>
      </c>
      <c r="C63" s="7">
        <v>92336</v>
      </c>
      <c r="D63" s="9">
        <v>25.0245</v>
      </c>
      <c r="E63" s="5">
        <v>4.5399999999999998E-3</v>
      </c>
      <c r="F63" s="7">
        <v>94773</v>
      </c>
      <c r="G63" s="9">
        <v>27.033300000000001</v>
      </c>
      <c r="H63" s="5">
        <v>8.7399999999999995E-3</v>
      </c>
      <c r="I63" s="7">
        <v>90013</v>
      </c>
      <c r="J63" s="9">
        <v>23.008700000000001</v>
      </c>
    </row>
    <row r="64" spans="1:10" x14ac:dyDescent="0.25">
      <c r="A64">
        <v>62</v>
      </c>
      <c r="B64" s="5">
        <v>7.3000000000000001E-3</v>
      </c>
      <c r="C64" s="7">
        <v>91723</v>
      </c>
      <c r="D64" s="9">
        <v>24.188400000000001</v>
      </c>
      <c r="E64" s="5">
        <v>5.0299999999999997E-3</v>
      </c>
      <c r="F64" s="7">
        <v>94342</v>
      </c>
      <c r="G64" s="9">
        <v>26.154399999999999</v>
      </c>
      <c r="H64" s="5">
        <v>9.5899999999999996E-3</v>
      </c>
      <c r="I64" s="7">
        <v>89226</v>
      </c>
      <c r="J64" s="9">
        <v>22.207000000000001</v>
      </c>
    </row>
    <row r="65" spans="1:10" x14ac:dyDescent="0.25">
      <c r="A65">
        <v>63</v>
      </c>
      <c r="B65" s="5">
        <v>8.0099999999999998E-3</v>
      </c>
      <c r="C65" s="7">
        <v>91053</v>
      </c>
      <c r="D65" s="9">
        <v>23.362500000000001</v>
      </c>
      <c r="E65" s="5">
        <v>5.4400000000000004E-3</v>
      </c>
      <c r="F65" s="7">
        <v>93868</v>
      </c>
      <c r="G65" s="9">
        <v>25.284099999999999</v>
      </c>
      <c r="H65" s="5">
        <v>1.06E-2</v>
      </c>
      <c r="I65" s="7">
        <v>88371</v>
      </c>
      <c r="J65" s="9">
        <v>21.417100000000001</v>
      </c>
    </row>
    <row r="66" spans="1:10" x14ac:dyDescent="0.25">
      <c r="A66">
        <v>64</v>
      </c>
      <c r="B66" s="5">
        <v>8.6599999999999993E-3</v>
      </c>
      <c r="C66" s="7">
        <v>90324</v>
      </c>
      <c r="D66" s="9">
        <v>22.5471</v>
      </c>
      <c r="E66" s="5">
        <v>5.9199999999999999E-3</v>
      </c>
      <c r="F66" s="7">
        <v>93357</v>
      </c>
      <c r="G66" s="9">
        <v>24.419599999999999</v>
      </c>
      <c r="H66" s="5">
        <v>1.1440000000000001E-2</v>
      </c>
      <c r="I66" s="7">
        <v>87434</v>
      </c>
      <c r="J66" s="9">
        <v>20.641300000000001</v>
      </c>
    </row>
    <row r="67" spans="1:10" x14ac:dyDescent="0.25">
      <c r="A67">
        <v>65</v>
      </c>
      <c r="B67" s="5">
        <v>9.3600000000000003E-3</v>
      </c>
      <c r="C67" s="7">
        <v>89542</v>
      </c>
      <c r="D67" s="9">
        <v>21.739599999999999</v>
      </c>
      <c r="E67" s="5">
        <v>6.3E-3</v>
      </c>
      <c r="F67" s="7">
        <v>92804</v>
      </c>
      <c r="G67" s="9">
        <v>23.562100000000001</v>
      </c>
      <c r="H67" s="5">
        <v>1.2500000000000001E-2</v>
      </c>
      <c r="I67" s="7">
        <v>86433</v>
      </c>
      <c r="J67" s="9">
        <v>19.874500000000001</v>
      </c>
    </row>
    <row r="68" spans="1:10" x14ac:dyDescent="0.25">
      <c r="A68">
        <v>66</v>
      </c>
      <c r="B68" s="5">
        <v>1.018E-2</v>
      </c>
      <c r="C68" s="7">
        <v>88704</v>
      </c>
      <c r="D68" s="9">
        <v>20.9404</v>
      </c>
      <c r="E68" s="5">
        <v>6.7400000000000003E-3</v>
      </c>
      <c r="F68" s="7">
        <v>92219</v>
      </c>
      <c r="G68" s="9">
        <v>22.708400000000001</v>
      </c>
      <c r="H68" s="5">
        <v>1.372E-2</v>
      </c>
      <c r="I68" s="7">
        <v>85353</v>
      </c>
      <c r="J68" s="9">
        <v>19.119700000000002</v>
      </c>
    </row>
    <row r="69" spans="1:10" x14ac:dyDescent="0.25">
      <c r="A69">
        <v>67</v>
      </c>
      <c r="B69" s="5">
        <v>1.085E-2</v>
      </c>
      <c r="C69" s="7">
        <v>87801</v>
      </c>
      <c r="D69" s="9">
        <v>20.150600000000001</v>
      </c>
      <c r="E69" s="5">
        <v>7.1799999999999998E-3</v>
      </c>
      <c r="F69" s="7">
        <v>91597</v>
      </c>
      <c r="G69" s="9">
        <v>21.859200000000001</v>
      </c>
      <c r="H69" s="5">
        <v>1.4659999999999999E-2</v>
      </c>
      <c r="I69" s="7">
        <v>84182</v>
      </c>
      <c r="J69" s="9">
        <v>18.378699999999998</v>
      </c>
    </row>
    <row r="70" spans="1:10" x14ac:dyDescent="0.25">
      <c r="A70">
        <v>68</v>
      </c>
      <c r="B70" s="5">
        <v>1.176E-2</v>
      </c>
      <c r="C70" s="7">
        <v>86848</v>
      </c>
      <c r="D70" s="9">
        <v>19.366199999999999</v>
      </c>
      <c r="E70" s="5">
        <v>7.9500000000000005E-3</v>
      </c>
      <c r="F70" s="7">
        <v>90940</v>
      </c>
      <c r="G70" s="9">
        <v>21.013500000000001</v>
      </c>
      <c r="H70" s="5">
        <v>1.575E-2</v>
      </c>
      <c r="I70" s="7">
        <v>82948</v>
      </c>
      <c r="J70" s="9">
        <v>17.6447</v>
      </c>
    </row>
    <row r="71" spans="1:10" x14ac:dyDescent="0.25">
      <c r="A71">
        <v>69</v>
      </c>
      <c r="B71" s="5">
        <v>1.2630000000000001E-2</v>
      </c>
      <c r="C71" s="7">
        <v>85826</v>
      </c>
      <c r="D71" s="9">
        <v>18.590800000000002</v>
      </c>
      <c r="E71" s="5">
        <v>8.6099999999999996E-3</v>
      </c>
      <c r="F71" s="7">
        <v>90217</v>
      </c>
      <c r="G71" s="9">
        <v>20.178000000000001</v>
      </c>
      <c r="H71" s="5">
        <v>1.687E-2</v>
      </c>
      <c r="I71" s="7">
        <v>81642</v>
      </c>
      <c r="J71" s="9">
        <v>16.919</v>
      </c>
    </row>
    <row r="72" spans="1:10" x14ac:dyDescent="0.25">
      <c r="A72">
        <v>70</v>
      </c>
      <c r="B72" s="5">
        <v>1.3650000000000001E-2</v>
      </c>
      <c r="C72" s="7">
        <v>84742</v>
      </c>
      <c r="D72" s="9">
        <v>17.822199999999999</v>
      </c>
      <c r="E72" s="5">
        <v>9.4000000000000004E-3</v>
      </c>
      <c r="F72" s="7">
        <v>89440</v>
      </c>
      <c r="G72" s="9">
        <v>19.348800000000001</v>
      </c>
      <c r="H72" s="5">
        <v>1.8149999999999999E-2</v>
      </c>
      <c r="I72" s="7">
        <v>80265</v>
      </c>
      <c r="J72" s="9">
        <v>16.200700000000001</v>
      </c>
    </row>
    <row r="73" spans="1:10" x14ac:dyDescent="0.25">
      <c r="A73">
        <v>71</v>
      </c>
      <c r="B73" s="5">
        <v>1.4619999999999999E-2</v>
      </c>
      <c r="C73" s="7">
        <v>83586</v>
      </c>
      <c r="D73" s="9">
        <v>17.061800000000002</v>
      </c>
      <c r="E73" s="5">
        <v>9.9500000000000005E-3</v>
      </c>
      <c r="F73" s="7">
        <v>88599</v>
      </c>
      <c r="G73" s="9">
        <v>18.527799999999999</v>
      </c>
      <c r="H73" s="5">
        <v>1.9630000000000002E-2</v>
      </c>
      <c r="I73" s="7">
        <v>78808</v>
      </c>
      <c r="J73" s="9">
        <v>15.4909</v>
      </c>
    </row>
    <row r="74" spans="1:10" x14ac:dyDescent="0.25">
      <c r="A74">
        <v>72</v>
      </c>
      <c r="B74" s="5">
        <v>1.5789999999999998E-2</v>
      </c>
      <c r="C74" s="7">
        <v>82364</v>
      </c>
      <c r="D74" s="9">
        <v>16.307500000000001</v>
      </c>
      <c r="E74" s="5">
        <v>1.093E-2</v>
      </c>
      <c r="F74" s="7">
        <v>87718</v>
      </c>
      <c r="G74" s="9">
        <v>17.7089</v>
      </c>
      <c r="H74" s="5">
        <v>2.1059999999999999E-2</v>
      </c>
      <c r="I74" s="7">
        <v>77261</v>
      </c>
      <c r="J74" s="9">
        <v>14.7911</v>
      </c>
    </row>
    <row r="75" spans="1:10" x14ac:dyDescent="0.25">
      <c r="A75">
        <v>73</v>
      </c>
      <c r="B75" s="5">
        <v>1.7000000000000001E-2</v>
      </c>
      <c r="C75" s="7">
        <v>81063</v>
      </c>
      <c r="D75" s="9">
        <v>15.561199999999999</v>
      </c>
      <c r="E75" s="5">
        <v>1.18E-2</v>
      </c>
      <c r="F75" s="7">
        <v>86759</v>
      </c>
      <c r="G75" s="9">
        <v>16.899100000000001</v>
      </c>
      <c r="H75" s="5">
        <v>2.2679999999999999E-2</v>
      </c>
      <c r="I75" s="7">
        <v>75634</v>
      </c>
      <c r="J75" s="9">
        <v>14.0985</v>
      </c>
    </row>
    <row r="76" spans="1:10" x14ac:dyDescent="0.25">
      <c r="A76">
        <v>74</v>
      </c>
      <c r="B76" s="5">
        <v>1.8339999999999999E-2</v>
      </c>
      <c r="C76" s="7">
        <v>79685</v>
      </c>
      <c r="D76" s="9">
        <v>14.8216</v>
      </c>
      <c r="E76" s="5">
        <v>1.273E-2</v>
      </c>
      <c r="F76" s="7">
        <v>85736</v>
      </c>
      <c r="G76" s="9">
        <v>16.094799999999999</v>
      </c>
      <c r="H76" s="5">
        <v>2.4539999999999999E-2</v>
      </c>
      <c r="I76" s="7">
        <v>73918</v>
      </c>
      <c r="J76" s="9">
        <v>13.414099999999999</v>
      </c>
    </row>
    <row r="77" spans="1:10" x14ac:dyDescent="0.25">
      <c r="A77">
        <v>75</v>
      </c>
      <c r="B77" s="5">
        <v>1.9779999999999999E-2</v>
      </c>
      <c r="C77" s="7">
        <v>78224</v>
      </c>
      <c r="D77" s="9">
        <v>14.0892</v>
      </c>
      <c r="E77" s="5">
        <v>1.388E-2</v>
      </c>
      <c r="F77" s="7">
        <v>84644</v>
      </c>
      <c r="G77" s="9">
        <v>15.2959</v>
      </c>
      <c r="H77" s="5">
        <v>2.6380000000000001E-2</v>
      </c>
      <c r="I77" s="7">
        <v>72104</v>
      </c>
      <c r="J77" s="9">
        <v>12.739000000000001</v>
      </c>
    </row>
    <row r="78" spans="1:10" x14ac:dyDescent="0.25">
      <c r="A78">
        <v>76</v>
      </c>
      <c r="B78" s="5">
        <v>2.1829999999999999E-2</v>
      </c>
      <c r="C78" s="7">
        <v>76677</v>
      </c>
      <c r="D78" s="9">
        <v>13.3634</v>
      </c>
      <c r="E78" s="5">
        <v>1.553E-2</v>
      </c>
      <c r="F78" s="7">
        <v>83470</v>
      </c>
      <c r="G78" s="9">
        <v>14.504099999999999</v>
      </c>
      <c r="H78" s="5">
        <v>2.896E-2</v>
      </c>
      <c r="I78" s="7">
        <v>70202</v>
      </c>
      <c r="J78" s="9">
        <v>12.0707</v>
      </c>
    </row>
    <row r="79" spans="1:10" x14ac:dyDescent="0.25">
      <c r="A79">
        <v>77</v>
      </c>
      <c r="B79" s="5">
        <v>2.3980000000000001E-2</v>
      </c>
      <c r="C79" s="7">
        <v>75003</v>
      </c>
      <c r="D79" s="9">
        <v>12.650499999999999</v>
      </c>
      <c r="E79" s="5">
        <v>1.7420000000000001E-2</v>
      </c>
      <c r="F79" s="7">
        <v>82173</v>
      </c>
      <c r="G79" s="9">
        <v>13.725099999999999</v>
      </c>
      <c r="H79" s="5">
        <v>3.1519999999999999E-2</v>
      </c>
      <c r="I79" s="7">
        <v>68169</v>
      </c>
      <c r="J79" s="9">
        <v>11.415800000000001</v>
      </c>
    </row>
    <row r="80" spans="1:10" x14ac:dyDescent="0.25">
      <c r="A80">
        <v>78</v>
      </c>
      <c r="B80" s="5">
        <v>2.666E-2</v>
      </c>
      <c r="C80" s="7">
        <v>73204</v>
      </c>
      <c r="D80" s="9">
        <v>11.949</v>
      </c>
      <c r="E80" s="5">
        <v>1.9890000000000001E-2</v>
      </c>
      <c r="F80" s="7">
        <v>80741</v>
      </c>
      <c r="G80" s="9">
        <v>12.9596</v>
      </c>
      <c r="H80" s="5">
        <v>3.456E-2</v>
      </c>
      <c r="I80" s="7">
        <v>66020</v>
      </c>
      <c r="J80" s="9">
        <v>10.771000000000001</v>
      </c>
    </row>
    <row r="81" spans="1:10" x14ac:dyDescent="0.25">
      <c r="A81">
        <v>79</v>
      </c>
      <c r="B81" s="5">
        <v>2.9489999999999999E-2</v>
      </c>
      <c r="C81" s="7">
        <v>71252</v>
      </c>
      <c r="D81" s="9">
        <v>11.262700000000001</v>
      </c>
      <c r="E81" s="5">
        <v>2.2179999999999998E-2</v>
      </c>
      <c r="F81" s="7">
        <v>79135</v>
      </c>
      <c r="G81" s="9">
        <v>12.2125</v>
      </c>
      <c r="H81" s="5">
        <v>3.814E-2</v>
      </c>
      <c r="I81" s="7">
        <v>63739</v>
      </c>
      <c r="J81" s="9">
        <v>10.1387</v>
      </c>
    </row>
    <row r="82" spans="1:10" x14ac:dyDescent="0.25">
      <c r="A82">
        <v>80</v>
      </c>
      <c r="B82" s="5">
        <v>3.2689999999999997E-2</v>
      </c>
      <c r="C82" s="7">
        <v>69151</v>
      </c>
      <c r="D82" s="9">
        <v>10.589700000000001</v>
      </c>
      <c r="E82" s="5">
        <v>2.4979999999999999E-2</v>
      </c>
      <c r="F82" s="7">
        <v>77380</v>
      </c>
      <c r="G82" s="9">
        <v>11.4781</v>
      </c>
      <c r="H82" s="5">
        <v>4.197E-2</v>
      </c>
      <c r="I82" s="7">
        <v>61307</v>
      </c>
      <c r="J82" s="9">
        <v>9.5208999999999993</v>
      </c>
    </row>
    <row r="83" spans="1:10" x14ac:dyDescent="0.25">
      <c r="A83">
        <v>81</v>
      </c>
      <c r="B83" s="5">
        <v>3.6600000000000001E-2</v>
      </c>
      <c r="C83" s="7">
        <v>66890</v>
      </c>
      <c r="D83" s="9">
        <v>9.9306999999999999</v>
      </c>
      <c r="E83" s="5">
        <v>2.8369999999999999E-2</v>
      </c>
      <c r="F83" s="7">
        <v>75448</v>
      </c>
      <c r="G83" s="9">
        <v>10.7593</v>
      </c>
      <c r="H83" s="5">
        <v>4.6670000000000003E-2</v>
      </c>
      <c r="I83" s="7">
        <v>58734</v>
      </c>
      <c r="J83" s="9">
        <v>8.9161999999999999</v>
      </c>
    </row>
    <row r="84" spans="1:10" x14ac:dyDescent="0.25">
      <c r="A84">
        <v>82</v>
      </c>
      <c r="B84" s="5">
        <v>4.1300000000000003E-2</v>
      </c>
      <c r="C84" s="7">
        <v>64442</v>
      </c>
      <c r="D84" s="9">
        <v>9.2889999999999997</v>
      </c>
      <c r="E84" s="5">
        <v>3.2669999999999998E-2</v>
      </c>
      <c r="F84" s="7">
        <v>73307</v>
      </c>
      <c r="G84" s="9">
        <v>10.0589</v>
      </c>
      <c r="H84" s="5">
        <v>5.2069999999999998E-2</v>
      </c>
      <c r="I84" s="7">
        <v>55993</v>
      </c>
      <c r="J84" s="9">
        <v>8.3282000000000007</v>
      </c>
    </row>
    <row r="85" spans="1:10" x14ac:dyDescent="0.25">
      <c r="A85">
        <v>83</v>
      </c>
      <c r="B85" s="5">
        <v>4.6629999999999998E-2</v>
      </c>
      <c r="C85" s="7">
        <v>61780</v>
      </c>
      <c r="D85" s="9">
        <v>8.6676000000000002</v>
      </c>
      <c r="E85" s="5">
        <v>3.7269999999999998E-2</v>
      </c>
      <c r="F85" s="7">
        <v>70912</v>
      </c>
      <c r="G85" s="9">
        <v>9.3818000000000001</v>
      </c>
      <c r="H85" s="5">
        <v>5.8540000000000002E-2</v>
      </c>
      <c r="I85" s="7">
        <v>53077</v>
      </c>
      <c r="J85" s="9">
        <v>7.7582000000000004</v>
      </c>
    </row>
    <row r="86" spans="1:10" x14ac:dyDescent="0.25">
      <c r="A86">
        <v>84</v>
      </c>
      <c r="B86" s="5">
        <v>5.3769999999999998E-2</v>
      </c>
      <c r="C86" s="7">
        <v>58900</v>
      </c>
      <c r="D86" s="9">
        <v>8.0670999999999999</v>
      </c>
      <c r="E86" s="5">
        <v>4.3810000000000002E-2</v>
      </c>
      <c r="F86" s="7">
        <v>68269</v>
      </c>
      <c r="G86" s="9">
        <v>8.7256999999999998</v>
      </c>
      <c r="H86" s="5">
        <v>6.6750000000000004E-2</v>
      </c>
      <c r="I86" s="7">
        <v>49970</v>
      </c>
      <c r="J86" s="9">
        <v>7.2095000000000002</v>
      </c>
    </row>
    <row r="87" spans="1:10" x14ac:dyDescent="0.25">
      <c r="A87">
        <v>85</v>
      </c>
      <c r="B87" s="5">
        <v>6.1030000000000001E-2</v>
      </c>
      <c r="C87" s="7">
        <v>55733</v>
      </c>
      <c r="D87" s="9">
        <v>7.4970999999999997</v>
      </c>
      <c r="E87" s="5">
        <v>5.0439999999999999E-2</v>
      </c>
      <c r="F87" s="7">
        <v>65278</v>
      </c>
      <c r="G87" s="9">
        <v>8.1026000000000007</v>
      </c>
      <c r="H87" s="5">
        <v>7.5160000000000005E-2</v>
      </c>
      <c r="I87" s="7">
        <v>46635</v>
      </c>
      <c r="J87" s="9">
        <v>6.6894</v>
      </c>
    </row>
    <row r="88" spans="1:10" x14ac:dyDescent="0.25">
      <c r="A88">
        <v>86</v>
      </c>
      <c r="B88" s="5">
        <v>6.9159999999999999E-2</v>
      </c>
      <c r="C88" s="7">
        <v>52331</v>
      </c>
      <c r="D88" s="9">
        <v>6.9519000000000002</v>
      </c>
      <c r="E88" s="5">
        <v>5.7579999999999999E-2</v>
      </c>
      <c r="F88" s="7">
        <v>61985</v>
      </c>
      <c r="G88" s="9">
        <v>7.5064000000000002</v>
      </c>
      <c r="H88" s="5">
        <v>8.5010000000000002E-2</v>
      </c>
      <c r="I88" s="7">
        <v>43130</v>
      </c>
      <c r="J88" s="9">
        <v>6.1924000000000001</v>
      </c>
    </row>
    <row r="89" spans="1:10" x14ac:dyDescent="0.25">
      <c r="A89">
        <v>87</v>
      </c>
      <c r="B89" s="5">
        <v>7.8390000000000001E-2</v>
      </c>
      <c r="C89" s="7">
        <v>48712</v>
      </c>
      <c r="D89" s="9">
        <v>6.4313000000000002</v>
      </c>
      <c r="E89" s="5">
        <v>6.6030000000000005E-2</v>
      </c>
      <c r="F89" s="7">
        <v>58416</v>
      </c>
      <c r="G89" s="9">
        <v>6.9344999999999999</v>
      </c>
      <c r="H89" s="5">
        <v>9.5820000000000002E-2</v>
      </c>
      <c r="I89" s="7">
        <v>39463</v>
      </c>
      <c r="J89" s="9">
        <v>5.7213000000000003</v>
      </c>
    </row>
    <row r="90" spans="1:10" x14ac:dyDescent="0.25">
      <c r="A90">
        <v>88</v>
      </c>
      <c r="B90" s="5">
        <v>8.8789999999999994E-2</v>
      </c>
      <c r="C90" s="7">
        <v>44894</v>
      </c>
      <c r="D90" s="9">
        <v>5.9356999999999998</v>
      </c>
      <c r="E90" s="5">
        <v>7.5980000000000006E-2</v>
      </c>
      <c r="F90" s="7">
        <v>54559</v>
      </c>
      <c r="G90" s="9">
        <v>6.3894000000000002</v>
      </c>
      <c r="H90" s="5">
        <v>0.10747</v>
      </c>
      <c r="I90" s="7">
        <v>35682</v>
      </c>
      <c r="J90" s="9">
        <v>5.2746000000000004</v>
      </c>
    </row>
    <row r="91" spans="1:10" x14ac:dyDescent="0.25">
      <c r="A91">
        <v>89</v>
      </c>
      <c r="B91" s="5">
        <v>0.10156999999999999</v>
      </c>
      <c r="C91" s="7">
        <v>40908</v>
      </c>
      <c r="D91" s="9">
        <v>5.4653999999999998</v>
      </c>
      <c r="E91" s="5">
        <v>8.7440000000000004E-2</v>
      </c>
      <c r="F91" s="7">
        <v>50414</v>
      </c>
      <c r="G91" s="9">
        <v>5.8735999999999997</v>
      </c>
      <c r="H91" s="5">
        <v>0.12288</v>
      </c>
      <c r="I91" s="7">
        <v>31847</v>
      </c>
      <c r="J91" s="9">
        <v>4.8494999999999999</v>
      </c>
    </row>
    <row r="92" spans="1:10" x14ac:dyDescent="0.25">
      <c r="A92">
        <v>90</v>
      </c>
      <c r="B92" s="5">
        <v>0.11584</v>
      </c>
      <c r="C92" s="7">
        <v>36753</v>
      </c>
      <c r="D92" s="9">
        <v>5.0266999999999999</v>
      </c>
      <c r="E92" s="5">
        <v>0.10100000000000001</v>
      </c>
      <c r="F92" s="7">
        <v>46006</v>
      </c>
      <c r="G92" s="9">
        <v>5.3884999999999996</v>
      </c>
      <c r="H92" s="5">
        <v>0.13913</v>
      </c>
      <c r="I92" s="7">
        <v>27934</v>
      </c>
      <c r="J92" s="9">
        <v>4.4588999999999999</v>
      </c>
    </row>
    <row r="93" spans="1:10" x14ac:dyDescent="0.25">
      <c r="A93">
        <v>91</v>
      </c>
      <c r="B93" s="5">
        <v>0.13133</v>
      </c>
      <c r="C93" s="7">
        <v>32495</v>
      </c>
      <c r="D93" s="9">
        <v>4.6197999999999997</v>
      </c>
      <c r="E93" s="5">
        <v>0.11618000000000001</v>
      </c>
      <c r="F93" s="7">
        <v>41359</v>
      </c>
      <c r="G93" s="9">
        <v>4.9377000000000004</v>
      </c>
      <c r="H93" s="5">
        <v>0.15617</v>
      </c>
      <c r="I93" s="7">
        <v>24047</v>
      </c>
      <c r="J93" s="9">
        <v>4.0987</v>
      </c>
    </row>
    <row r="94" spans="1:10" x14ac:dyDescent="0.25">
      <c r="A94">
        <v>92</v>
      </c>
      <c r="B94" s="5">
        <v>0.14845</v>
      </c>
      <c r="C94" s="7">
        <v>28228</v>
      </c>
      <c r="D94" s="9">
        <v>4.2427000000000001</v>
      </c>
      <c r="E94" s="5">
        <v>0.13242999999999999</v>
      </c>
      <c r="F94" s="7">
        <v>36554</v>
      </c>
      <c r="G94" s="9">
        <v>4.5210999999999997</v>
      </c>
      <c r="H94" s="5">
        <v>0.17596000000000001</v>
      </c>
      <c r="I94" s="7">
        <v>20292</v>
      </c>
      <c r="J94" s="9">
        <v>3.7646999999999999</v>
      </c>
    </row>
    <row r="95" spans="1:10" x14ac:dyDescent="0.25">
      <c r="A95">
        <v>93</v>
      </c>
      <c r="B95" s="5">
        <v>0.16718</v>
      </c>
      <c r="C95" s="7">
        <v>24037</v>
      </c>
      <c r="D95" s="9">
        <v>3.8950999999999998</v>
      </c>
      <c r="E95" s="5">
        <v>0.15175</v>
      </c>
      <c r="F95" s="7">
        <v>31713</v>
      </c>
      <c r="G95" s="9">
        <v>4.1348000000000003</v>
      </c>
      <c r="H95" s="5">
        <v>0.19506999999999999</v>
      </c>
      <c r="I95" s="7">
        <v>16721</v>
      </c>
      <c r="J95" s="9">
        <v>3.4618000000000002</v>
      </c>
    </row>
    <row r="96" spans="1:10" x14ac:dyDescent="0.25">
      <c r="A96">
        <v>94</v>
      </c>
      <c r="B96" s="5">
        <v>0.18906000000000001</v>
      </c>
      <c r="C96" s="7">
        <v>20019</v>
      </c>
      <c r="D96" s="9">
        <v>3.5767000000000002</v>
      </c>
      <c r="E96" s="5">
        <v>0.17329</v>
      </c>
      <c r="F96" s="7">
        <v>26901</v>
      </c>
      <c r="G96" s="9">
        <v>3.7850999999999999</v>
      </c>
      <c r="H96" s="5">
        <v>0.21909000000000001</v>
      </c>
      <c r="I96" s="7">
        <v>13459</v>
      </c>
      <c r="J96" s="9">
        <v>3.1796000000000002</v>
      </c>
    </row>
    <row r="97" spans="1:10" x14ac:dyDescent="0.25">
      <c r="A97">
        <v>95</v>
      </c>
      <c r="B97" s="5">
        <v>0.21215000000000001</v>
      </c>
      <c r="C97" s="7">
        <v>16234</v>
      </c>
      <c r="D97" s="9">
        <v>3.2938999999999998</v>
      </c>
      <c r="E97" s="5">
        <v>0.19639999999999999</v>
      </c>
      <c r="F97" s="7">
        <v>22239</v>
      </c>
      <c r="G97" s="9">
        <v>3.4737</v>
      </c>
      <c r="H97" s="5">
        <v>0.24393999999999999</v>
      </c>
      <c r="I97" s="7">
        <v>10511</v>
      </c>
      <c r="J97" s="9">
        <v>2.9314</v>
      </c>
    </row>
    <row r="98" spans="1:10" x14ac:dyDescent="0.25">
      <c r="A98">
        <v>96</v>
      </c>
      <c r="B98" s="5">
        <v>0.23519000000000001</v>
      </c>
      <c r="C98" s="7">
        <v>12790</v>
      </c>
      <c r="D98" s="9">
        <v>3.0463</v>
      </c>
      <c r="E98" s="5">
        <v>0.21695999999999999</v>
      </c>
      <c r="F98" s="7">
        <v>17872</v>
      </c>
      <c r="G98" s="9">
        <v>3.2004000000000001</v>
      </c>
      <c r="H98" s="5">
        <v>0.27426</v>
      </c>
      <c r="I98" s="7">
        <v>7947</v>
      </c>
      <c r="J98" s="9">
        <v>2.7159</v>
      </c>
    </row>
    <row r="99" spans="1:10" x14ac:dyDescent="0.25">
      <c r="A99">
        <v>97</v>
      </c>
      <c r="B99" s="5">
        <v>0.25844</v>
      </c>
      <c r="C99" s="7">
        <v>9782</v>
      </c>
      <c r="D99" s="9">
        <v>2.8292999999999999</v>
      </c>
      <c r="E99" s="5">
        <v>0.24290999999999999</v>
      </c>
      <c r="F99" s="7">
        <v>13994</v>
      </c>
      <c r="G99" s="9">
        <v>2.9487000000000001</v>
      </c>
      <c r="H99" s="5">
        <v>0.29436000000000001</v>
      </c>
      <c r="I99" s="7">
        <v>5767</v>
      </c>
      <c r="J99" s="9">
        <v>2.5533000000000001</v>
      </c>
    </row>
    <row r="100" spans="1:10" x14ac:dyDescent="0.25">
      <c r="A100">
        <v>98</v>
      </c>
      <c r="B100" s="5">
        <v>0.28369</v>
      </c>
      <c r="C100" s="7">
        <v>7254</v>
      </c>
      <c r="D100" s="9">
        <v>2.6410999999999998</v>
      </c>
      <c r="E100" s="5">
        <v>0.26854</v>
      </c>
      <c r="F100" s="7">
        <v>10595</v>
      </c>
      <c r="G100" s="9">
        <v>2.7343000000000002</v>
      </c>
      <c r="H100" s="5">
        <v>0.32128000000000001</v>
      </c>
      <c r="I100" s="7">
        <v>4070</v>
      </c>
      <c r="J100" s="9">
        <v>2.4098000000000002</v>
      </c>
    </row>
    <row r="101" spans="1:10" x14ac:dyDescent="0.25">
      <c r="A101">
        <v>99</v>
      </c>
      <c r="B101" s="5">
        <v>0.3039</v>
      </c>
      <c r="C101" s="7">
        <v>5196</v>
      </c>
      <c r="D101" s="9">
        <v>2.4891000000000001</v>
      </c>
      <c r="E101" s="5">
        <v>0.28941</v>
      </c>
      <c r="F101" s="7">
        <v>7750</v>
      </c>
      <c r="G101" s="9">
        <v>2.5546000000000002</v>
      </c>
      <c r="H101" s="5">
        <v>0.34262999999999999</v>
      </c>
      <c r="I101" s="7">
        <v>2762</v>
      </c>
      <c r="J101" s="9">
        <v>2.3138999999999998</v>
      </c>
    </row>
    <row r="102" spans="1:10" x14ac:dyDescent="0.25">
      <c r="A102">
        <v>100</v>
      </c>
      <c r="B102" s="5">
        <v>0.33169999999999999</v>
      </c>
      <c r="C102" s="7">
        <v>3617</v>
      </c>
      <c r="D102" s="9">
        <v>2.3574999999999999</v>
      </c>
      <c r="E102" s="5">
        <v>0.31695000000000001</v>
      </c>
      <c r="F102" s="7">
        <v>5507</v>
      </c>
      <c r="G102" s="9">
        <v>2.3914</v>
      </c>
      <c r="H102" s="5">
        <v>0.37431999999999999</v>
      </c>
      <c r="I102" s="7">
        <v>1816</v>
      </c>
      <c r="J102" s="9">
        <v>2.2593999999999999</v>
      </c>
    </row>
    <row r="103" spans="1:10" x14ac:dyDescent="0.25">
      <c r="A103">
        <v>101</v>
      </c>
      <c r="B103" s="5">
        <v>0.34725</v>
      </c>
      <c r="C103" s="7">
        <v>2417</v>
      </c>
      <c r="D103" s="9">
        <v>2.2793999999999999</v>
      </c>
      <c r="E103" s="5">
        <v>0.33323999999999998</v>
      </c>
      <c r="F103" s="7">
        <v>3761</v>
      </c>
      <c r="G103" s="9">
        <v>2.2690999999999999</v>
      </c>
      <c r="H103" s="5">
        <v>0.39145999999999997</v>
      </c>
      <c r="I103" s="7">
        <v>1136</v>
      </c>
      <c r="J103" s="9">
        <v>2.3119000000000001</v>
      </c>
    </row>
    <row r="104" spans="1:10" x14ac:dyDescent="0.25">
      <c r="A104">
        <v>102</v>
      </c>
      <c r="B104" s="5">
        <v>0.36170999999999998</v>
      </c>
      <c r="C104" s="7">
        <v>1578</v>
      </c>
      <c r="D104" s="9">
        <v>2.226</v>
      </c>
      <c r="E104" s="5">
        <v>0.35685</v>
      </c>
      <c r="F104" s="7">
        <v>2508</v>
      </c>
      <c r="G104" s="9">
        <v>2.1533000000000002</v>
      </c>
      <c r="H104" s="5">
        <v>0.37855</v>
      </c>
      <c r="I104" s="7">
        <v>691</v>
      </c>
      <c r="J104" s="9">
        <v>2.4775</v>
      </c>
    </row>
    <row r="105" spans="1:10" x14ac:dyDescent="0.25">
      <c r="A105">
        <v>103</v>
      </c>
      <c r="B105" s="5">
        <v>0.38453999999999999</v>
      </c>
      <c r="C105" s="7">
        <v>1007</v>
      </c>
      <c r="D105" s="9">
        <v>2.2040999999999999</v>
      </c>
      <c r="E105" s="5">
        <v>0.38653999999999999</v>
      </c>
      <c r="F105" s="7">
        <v>1613</v>
      </c>
      <c r="G105" s="9">
        <v>2.0705</v>
      </c>
      <c r="H105" s="5">
        <v>0.37739</v>
      </c>
      <c r="I105" s="7">
        <v>430</v>
      </c>
      <c r="J105" s="9">
        <v>2.6819999999999999</v>
      </c>
    </row>
    <row r="106" spans="1:10" x14ac:dyDescent="0.25">
      <c r="A106">
        <v>104</v>
      </c>
      <c r="B106" s="5">
        <v>0.37592999999999999</v>
      </c>
      <c r="C106" s="7">
        <v>620</v>
      </c>
      <c r="D106" s="9">
        <v>2.2688999999999999</v>
      </c>
      <c r="E106" s="5">
        <v>0.38973000000000002</v>
      </c>
      <c r="F106" s="7">
        <v>990</v>
      </c>
      <c r="G106" s="9">
        <v>2.0600999999999998</v>
      </c>
      <c r="H106" s="5">
        <v>0.32724999999999999</v>
      </c>
      <c r="I106" s="7">
        <v>267</v>
      </c>
      <c r="J106" s="9">
        <v>3.0047000000000001</v>
      </c>
    </row>
    <row r="107" spans="1:10" x14ac:dyDescent="0.25">
      <c r="B107" s="5">
        <v>0</v>
      </c>
      <c r="C107" s="7"/>
      <c r="D107" s="9"/>
      <c r="E107" s="5">
        <v>0</v>
      </c>
      <c r="F107" s="7"/>
      <c r="G107" s="9"/>
      <c r="H107" s="5">
        <v>0</v>
      </c>
      <c r="I107" s="7"/>
      <c r="J107" s="9"/>
    </row>
    <row r="108" spans="1:10" x14ac:dyDescent="0.25">
      <c r="B108" s="5">
        <v>0</v>
      </c>
      <c r="C108" s="7"/>
      <c r="D108" s="9"/>
      <c r="E108" s="5">
        <v>0</v>
      </c>
      <c r="F108" s="7"/>
      <c r="G108" s="9"/>
      <c r="H108" s="5">
        <v>0</v>
      </c>
      <c r="I108" s="7"/>
      <c r="J108" s="9"/>
    </row>
    <row r="109" spans="1:10" x14ac:dyDescent="0.25">
      <c r="B109" s="5"/>
      <c r="C109" s="7"/>
      <c r="D109" s="9"/>
      <c r="E109" s="5"/>
      <c r="F109" s="7"/>
      <c r="G109" s="9"/>
      <c r="H109" s="5"/>
      <c r="I109" s="7"/>
      <c r="J109" s="9"/>
    </row>
    <row r="110" spans="1:10" x14ac:dyDescent="0.25">
      <c r="B110" s="5"/>
      <c r="C110" s="7"/>
      <c r="D110" s="9"/>
      <c r="E110" s="5"/>
      <c r="F110" s="7"/>
      <c r="G110" s="9"/>
      <c r="H110" s="5"/>
      <c r="I110" s="7"/>
      <c r="J110" s="9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er_Donnees_INSEE_2025.Importer_Donnees_INSEE_2025">
                <anchor moveWithCells="1">
                  <from>
                    <xdr:col>11</xdr:col>
                    <xdr:colOff>533400</xdr:colOff>
                    <xdr:row>1</xdr:row>
                    <xdr:rowOff>361950</xdr:rowOff>
                  </from>
                  <to>
                    <xdr:col>13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9681E-B909-4E9F-88BD-F6274C99498C}">
  <sheetPr codeName="Feuil2">
    <tabColor theme="6"/>
  </sheetPr>
  <dimension ref="A1:H107"/>
  <sheetViews>
    <sheetView workbookViewId="0">
      <pane ySplit="2" topLeftCell="A6" activePane="bottomLeft" state="frozen"/>
      <selection pane="bottomLeft" activeCell="D3" sqref="D3"/>
    </sheetView>
  </sheetViews>
  <sheetFormatPr baseColWidth="10" defaultRowHeight="15" x14ac:dyDescent="0.25"/>
  <cols>
    <col min="1" max="1" width="8.7109375" customWidth="1"/>
    <col min="2" max="8" width="12.7109375" customWidth="1"/>
  </cols>
  <sheetData>
    <row r="1" spans="1:8" ht="18.75" x14ac:dyDescent="0.3">
      <c r="A1" s="71" t="s">
        <v>14</v>
      </c>
      <c r="B1" s="72"/>
      <c r="C1" s="72"/>
      <c r="D1" s="72"/>
      <c r="E1" s="72"/>
      <c r="F1" s="72"/>
      <c r="G1" s="72"/>
      <c r="H1" s="72"/>
    </row>
    <row r="2" spans="1:8" x14ac:dyDescent="0.25">
      <c r="A2" s="10" t="s">
        <v>8</v>
      </c>
      <c r="B2" s="10" t="s">
        <v>15</v>
      </c>
      <c r="C2" s="10" t="s">
        <v>16</v>
      </c>
      <c r="D2" s="10" t="s">
        <v>17</v>
      </c>
      <c r="E2" s="10" t="s">
        <v>18</v>
      </c>
      <c r="F2" s="10" t="s">
        <v>19</v>
      </c>
      <c r="G2" s="10" t="s">
        <v>20</v>
      </c>
      <c r="H2" s="10" t="s">
        <v>21</v>
      </c>
    </row>
    <row r="3" spans="1:8" x14ac:dyDescent="0.25">
      <c r="A3" s="11">
        <f>Données_Brutes!A2</f>
        <v>0</v>
      </c>
      <c r="B3" s="12">
        <f>Données_Brutes!B2</f>
        <v>3.9100000000000003E-3</v>
      </c>
      <c r="C3" s="12">
        <f t="shared" ref="C3:C34" si="0">1-B3</f>
        <v>0.99609000000000003</v>
      </c>
      <c r="D3" s="13">
        <f>Données_Brutes!C2</f>
        <v>100000</v>
      </c>
      <c r="E3" s="13">
        <f t="shared" ref="E3:E34" si="1">D3*B3</f>
        <v>391</v>
      </c>
      <c r="F3" s="13">
        <f t="shared" ref="F3:F34" si="2">(D3+D4)/2</f>
        <v>99804.5</v>
      </c>
      <c r="G3" s="13">
        <f>SUM(F3:F$107)</f>
        <v>8295400</v>
      </c>
      <c r="H3" s="14">
        <f t="shared" ref="H3:H34" si="3">IF(D3&gt;0,G3/D3,0)</f>
        <v>82.953999999999994</v>
      </c>
    </row>
    <row r="4" spans="1:8" x14ac:dyDescent="0.25">
      <c r="A4" s="11">
        <f>Données_Brutes!A3</f>
        <v>1</v>
      </c>
      <c r="B4" s="12">
        <f>Données_Brutes!B3</f>
        <v>2.5999999999999998E-4</v>
      </c>
      <c r="C4" s="12">
        <f t="shared" si="0"/>
        <v>0.99973999999999996</v>
      </c>
      <c r="D4" s="13">
        <f>Données_Brutes!C3</f>
        <v>99609</v>
      </c>
      <c r="E4" s="13">
        <f t="shared" si="1"/>
        <v>25.898339999999997</v>
      </c>
      <c r="F4" s="13">
        <f t="shared" si="2"/>
        <v>99596</v>
      </c>
      <c r="G4" s="13">
        <f>SUM(F4:F$107)</f>
        <v>8195595.5</v>
      </c>
      <c r="H4" s="14">
        <f t="shared" si="3"/>
        <v>82.277660653153831</v>
      </c>
    </row>
    <row r="5" spans="1:8" x14ac:dyDescent="0.25">
      <c r="A5" s="11">
        <f>Données_Brutes!A4</f>
        <v>2</v>
      </c>
      <c r="B5" s="12">
        <f>Données_Brutes!B4</f>
        <v>1.7000000000000001E-4</v>
      </c>
      <c r="C5" s="12">
        <f t="shared" si="0"/>
        <v>0.99983</v>
      </c>
      <c r="D5" s="13">
        <f>Données_Brutes!C4</f>
        <v>99583</v>
      </c>
      <c r="E5" s="13">
        <f t="shared" si="1"/>
        <v>16.929110000000001</v>
      </c>
      <c r="F5" s="13">
        <f t="shared" si="2"/>
        <v>99574.5</v>
      </c>
      <c r="G5" s="13">
        <f>SUM(F5:F$107)</f>
        <v>8095999.5</v>
      </c>
      <c r="H5" s="14">
        <f t="shared" si="3"/>
        <v>81.299011879537673</v>
      </c>
    </row>
    <row r="6" spans="1:8" x14ac:dyDescent="0.25">
      <c r="A6" s="11">
        <f>Données_Brutes!A5</f>
        <v>3</v>
      </c>
      <c r="B6" s="12">
        <f>Données_Brutes!B5</f>
        <v>1.2E-4</v>
      </c>
      <c r="C6" s="12">
        <f t="shared" si="0"/>
        <v>0.99987999999999999</v>
      </c>
      <c r="D6" s="13">
        <f>Données_Brutes!C5</f>
        <v>99566</v>
      </c>
      <c r="E6" s="13">
        <f t="shared" si="1"/>
        <v>11.94792</v>
      </c>
      <c r="F6" s="13">
        <f t="shared" si="2"/>
        <v>99560</v>
      </c>
      <c r="G6" s="13">
        <f>SUM(F6:F$107)</f>
        <v>7996425</v>
      </c>
      <c r="H6" s="14">
        <f t="shared" si="3"/>
        <v>80.312807584918545</v>
      </c>
    </row>
    <row r="7" spans="1:8" x14ac:dyDescent="0.25">
      <c r="A7" s="11">
        <f>Données_Brutes!A6</f>
        <v>4</v>
      </c>
      <c r="B7" s="12">
        <f>Données_Brutes!B6</f>
        <v>1.1E-4</v>
      </c>
      <c r="C7" s="12">
        <f t="shared" si="0"/>
        <v>0.99988999999999995</v>
      </c>
      <c r="D7" s="13">
        <f>Données_Brutes!C6</f>
        <v>99554</v>
      </c>
      <c r="E7" s="13">
        <f t="shared" si="1"/>
        <v>10.950940000000001</v>
      </c>
      <c r="F7" s="13">
        <f t="shared" si="2"/>
        <v>99548.5</v>
      </c>
      <c r="G7" s="13">
        <f>SUM(F7:F$107)</f>
        <v>7896865</v>
      </c>
      <c r="H7" s="14">
        <f t="shared" si="3"/>
        <v>79.322428029009387</v>
      </c>
    </row>
    <row r="8" spans="1:8" x14ac:dyDescent="0.25">
      <c r="A8" s="11">
        <f>Données_Brutes!A7</f>
        <v>5</v>
      </c>
      <c r="B8" s="12">
        <f>Données_Brutes!B7</f>
        <v>9.0000000000000006E-5</v>
      </c>
      <c r="C8" s="12">
        <f t="shared" si="0"/>
        <v>0.99990999999999997</v>
      </c>
      <c r="D8" s="13">
        <f>Données_Brutes!C7</f>
        <v>99543</v>
      </c>
      <c r="E8" s="13">
        <f t="shared" si="1"/>
        <v>8.958870000000001</v>
      </c>
      <c r="F8" s="13">
        <f t="shared" si="2"/>
        <v>99538.5</v>
      </c>
      <c r="G8" s="13">
        <f>SUM(F8:F$107)</f>
        <v>7797316.5</v>
      </c>
      <c r="H8" s="14">
        <f t="shared" si="3"/>
        <v>78.33113830204033</v>
      </c>
    </row>
    <row r="9" spans="1:8" x14ac:dyDescent="0.25">
      <c r="A9" s="11">
        <f>Données_Brutes!A8</f>
        <v>6</v>
      </c>
      <c r="B9" s="12">
        <f>Données_Brutes!B8</f>
        <v>8.0000000000000007E-5</v>
      </c>
      <c r="C9" s="12">
        <f t="shared" si="0"/>
        <v>0.99992000000000003</v>
      </c>
      <c r="D9" s="13">
        <f>Données_Brutes!C8</f>
        <v>99534</v>
      </c>
      <c r="E9" s="13">
        <f t="shared" si="1"/>
        <v>7.9627200000000009</v>
      </c>
      <c r="F9" s="13">
        <f t="shared" si="2"/>
        <v>99530</v>
      </c>
      <c r="G9" s="13">
        <f>SUM(F9:F$107)</f>
        <v>7697778</v>
      </c>
      <c r="H9" s="14">
        <f t="shared" si="3"/>
        <v>77.338175899692573</v>
      </c>
    </row>
    <row r="10" spans="1:8" x14ac:dyDescent="0.25">
      <c r="A10" s="11">
        <f>Données_Brutes!A9</f>
        <v>7</v>
      </c>
      <c r="B10" s="12">
        <f>Données_Brutes!B9</f>
        <v>6.9999999999999994E-5</v>
      </c>
      <c r="C10" s="12">
        <f t="shared" si="0"/>
        <v>0.99992999999999999</v>
      </c>
      <c r="D10" s="13">
        <f>Données_Brutes!C9</f>
        <v>99526</v>
      </c>
      <c r="E10" s="13">
        <f t="shared" si="1"/>
        <v>6.9668199999999993</v>
      </c>
      <c r="F10" s="13">
        <f t="shared" si="2"/>
        <v>99522.5</v>
      </c>
      <c r="G10" s="13">
        <f>SUM(F10:F$107)</f>
        <v>7598248</v>
      </c>
      <c r="H10" s="14">
        <f t="shared" si="3"/>
        <v>76.344352229568159</v>
      </c>
    </row>
    <row r="11" spans="1:8" x14ac:dyDescent="0.25">
      <c r="A11" s="11">
        <f>Données_Brutes!A10</f>
        <v>8</v>
      </c>
      <c r="B11" s="12">
        <f>Données_Brutes!B10</f>
        <v>6.9999999999999994E-5</v>
      </c>
      <c r="C11" s="12">
        <f t="shared" si="0"/>
        <v>0.99992999999999999</v>
      </c>
      <c r="D11" s="13">
        <f>Données_Brutes!C10</f>
        <v>99519</v>
      </c>
      <c r="E11" s="13">
        <f t="shared" si="1"/>
        <v>6.9663299999999992</v>
      </c>
      <c r="F11" s="13">
        <f t="shared" si="2"/>
        <v>99515.5</v>
      </c>
      <c r="G11" s="13">
        <f>SUM(F11:F$107)</f>
        <v>7498725.5</v>
      </c>
      <c r="H11" s="14">
        <f t="shared" si="3"/>
        <v>75.349686994443275</v>
      </c>
    </row>
    <row r="12" spans="1:8" x14ac:dyDescent="0.25">
      <c r="A12" s="11">
        <f>Données_Brutes!A11</f>
        <v>9</v>
      </c>
      <c r="B12" s="12">
        <f>Données_Brutes!B11</f>
        <v>6.9999999999999994E-5</v>
      </c>
      <c r="C12" s="12">
        <f t="shared" si="0"/>
        <v>0.99992999999999999</v>
      </c>
      <c r="D12" s="13">
        <f>Données_Brutes!C11</f>
        <v>99512</v>
      </c>
      <c r="E12" s="13">
        <f t="shared" si="1"/>
        <v>6.9658399999999991</v>
      </c>
      <c r="F12" s="13">
        <f t="shared" si="2"/>
        <v>99508.5</v>
      </c>
      <c r="G12" s="13">
        <f>SUM(F12:F$107)</f>
        <v>7399210</v>
      </c>
      <c r="H12" s="14">
        <f t="shared" si="3"/>
        <v>74.354952166572872</v>
      </c>
    </row>
    <row r="13" spans="1:8" x14ac:dyDescent="0.25">
      <c r="A13" s="11">
        <f>Données_Brutes!A12</f>
        <v>10</v>
      </c>
      <c r="B13" s="12">
        <f>Données_Brutes!B12</f>
        <v>6.9999999999999994E-5</v>
      </c>
      <c r="C13" s="12">
        <f t="shared" si="0"/>
        <v>0.99992999999999999</v>
      </c>
      <c r="D13" s="13">
        <f>Données_Brutes!C12</f>
        <v>99505</v>
      </c>
      <c r="E13" s="13">
        <f t="shared" si="1"/>
        <v>6.965349999999999</v>
      </c>
      <c r="F13" s="13">
        <f t="shared" si="2"/>
        <v>99501.5</v>
      </c>
      <c r="G13" s="13">
        <f>SUM(F13:F$107)</f>
        <v>7299701.5</v>
      </c>
      <c r="H13" s="14">
        <f t="shared" si="3"/>
        <v>73.360147731269791</v>
      </c>
    </row>
    <row r="14" spans="1:8" x14ac:dyDescent="0.25">
      <c r="A14" s="11">
        <f>Données_Brutes!A13</f>
        <v>11</v>
      </c>
      <c r="B14" s="12">
        <f>Données_Brutes!B13</f>
        <v>6.9999999999999994E-5</v>
      </c>
      <c r="C14" s="12">
        <f t="shared" si="0"/>
        <v>0.99992999999999999</v>
      </c>
      <c r="D14" s="13">
        <f>Données_Brutes!C13</f>
        <v>99498</v>
      </c>
      <c r="E14" s="13">
        <f t="shared" si="1"/>
        <v>6.9648599999999998</v>
      </c>
      <c r="F14" s="13">
        <f t="shared" si="2"/>
        <v>99494.5</v>
      </c>
      <c r="G14" s="13">
        <f>SUM(F14:F$107)</f>
        <v>7200200</v>
      </c>
      <c r="H14" s="14">
        <f t="shared" si="3"/>
        <v>72.365273673842694</v>
      </c>
    </row>
    <row r="15" spans="1:8" x14ac:dyDescent="0.25">
      <c r="A15" s="11">
        <f>Données_Brutes!A14</f>
        <v>12</v>
      </c>
      <c r="B15" s="12">
        <f>Données_Brutes!B14</f>
        <v>8.0000000000000007E-5</v>
      </c>
      <c r="C15" s="12">
        <f t="shared" si="0"/>
        <v>0.99992000000000003</v>
      </c>
      <c r="D15" s="13">
        <f>Données_Brutes!C14</f>
        <v>99491</v>
      </c>
      <c r="E15" s="13">
        <f t="shared" si="1"/>
        <v>7.9592800000000006</v>
      </c>
      <c r="F15" s="13">
        <f t="shared" si="2"/>
        <v>99487.5</v>
      </c>
      <c r="G15" s="13">
        <f>SUM(F15:F$107)</f>
        <v>7100705.5</v>
      </c>
      <c r="H15" s="14">
        <f t="shared" si="3"/>
        <v>71.37032997959615</v>
      </c>
    </row>
    <row r="16" spans="1:8" x14ac:dyDescent="0.25">
      <c r="A16" s="11">
        <f>Données_Brutes!A15</f>
        <v>13</v>
      </c>
      <c r="B16" s="12">
        <f>Données_Brutes!B15</f>
        <v>1E-4</v>
      </c>
      <c r="C16" s="12">
        <f t="shared" si="0"/>
        <v>0.99990000000000001</v>
      </c>
      <c r="D16" s="13">
        <f>Données_Brutes!C15</f>
        <v>99484</v>
      </c>
      <c r="E16" s="13">
        <f t="shared" si="1"/>
        <v>9.9484000000000012</v>
      </c>
      <c r="F16" s="13">
        <f t="shared" si="2"/>
        <v>99478.5</v>
      </c>
      <c r="G16" s="13">
        <f>SUM(F16:F$107)</f>
        <v>7001218</v>
      </c>
      <c r="H16" s="14">
        <f t="shared" si="3"/>
        <v>70.375316633830565</v>
      </c>
    </row>
    <row r="17" spans="1:8" x14ac:dyDescent="0.25">
      <c r="A17" s="11">
        <f>Données_Brutes!A16</f>
        <v>14</v>
      </c>
      <c r="B17" s="12">
        <f>Données_Brutes!B16</f>
        <v>1.2E-4</v>
      </c>
      <c r="C17" s="12">
        <f t="shared" si="0"/>
        <v>0.99987999999999999</v>
      </c>
      <c r="D17" s="13">
        <f>Données_Brutes!C16</f>
        <v>99473</v>
      </c>
      <c r="E17" s="13">
        <f t="shared" si="1"/>
        <v>11.93676</v>
      </c>
      <c r="F17" s="13">
        <f t="shared" si="2"/>
        <v>99467</v>
      </c>
      <c r="G17" s="13">
        <f>SUM(F17:F$107)</f>
        <v>6901739.5</v>
      </c>
      <c r="H17" s="14">
        <f t="shared" si="3"/>
        <v>69.383043639982702</v>
      </c>
    </row>
    <row r="18" spans="1:8" x14ac:dyDescent="0.25">
      <c r="A18" s="11">
        <f>Données_Brutes!A17</f>
        <v>15</v>
      </c>
      <c r="B18" s="12">
        <f>Données_Brutes!B17</f>
        <v>1.4999999999999999E-4</v>
      </c>
      <c r="C18" s="12">
        <f t="shared" si="0"/>
        <v>0.99985000000000002</v>
      </c>
      <c r="D18" s="13">
        <f>Données_Brutes!C17</f>
        <v>99461</v>
      </c>
      <c r="E18" s="13">
        <f t="shared" si="1"/>
        <v>14.919149999999998</v>
      </c>
      <c r="F18" s="13">
        <f t="shared" si="2"/>
        <v>99453.5</v>
      </c>
      <c r="G18" s="13">
        <f>SUM(F18:F$107)</f>
        <v>6802272.5</v>
      </c>
      <c r="H18" s="14">
        <f t="shared" si="3"/>
        <v>68.391354400217168</v>
      </c>
    </row>
    <row r="19" spans="1:8" x14ac:dyDescent="0.25">
      <c r="A19" s="11">
        <f>Données_Brutes!A18</f>
        <v>16</v>
      </c>
      <c r="B19" s="12">
        <f>Données_Brutes!B18</f>
        <v>2.0000000000000001E-4</v>
      </c>
      <c r="C19" s="12">
        <f t="shared" si="0"/>
        <v>0.99980000000000002</v>
      </c>
      <c r="D19" s="13">
        <f>Données_Brutes!C18</f>
        <v>99446</v>
      </c>
      <c r="E19" s="13">
        <f t="shared" si="1"/>
        <v>19.889200000000002</v>
      </c>
      <c r="F19" s="13">
        <f t="shared" si="2"/>
        <v>99436</v>
      </c>
      <c r="G19" s="13">
        <f>SUM(F19:F$107)</f>
        <v>6702819</v>
      </c>
      <c r="H19" s="14">
        <f t="shared" si="3"/>
        <v>67.401594835388053</v>
      </c>
    </row>
    <row r="20" spans="1:8" x14ac:dyDescent="0.25">
      <c r="A20" s="11">
        <f>Données_Brutes!A19</f>
        <v>17</v>
      </c>
      <c r="B20" s="12">
        <f>Données_Brutes!B19</f>
        <v>2.2000000000000001E-4</v>
      </c>
      <c r="C20" s="12">
        <f t="shared" si="0"/>
        <v>0.99978</v>
      </c>
      <c r="D20" s="13">
        <f>Données_Brutes!C19</f>
        <v>99426</v>
      </c>
      <c r="E20" s="13">
        <f t="shared" si="1"/>
        <v>21.873720000000002</v>
      </c>
      <c r="F20" s="13">
        <f t="shared" si="2"/>
        <v>99415</v>
      </c>
      <c r="G20" s="13">
        <f>SUM(F20:F$107)</f>
        <v>6603383</v>
      </c>
      <c r="H20" s="14">
        <f t="shared" si="3"/>
        <v>66.415052400780482</v>
      </c>
    </row>
    <row r="21" spans="1:8" x14ac:dyDescent="0.25">
      <c r="A21" s="11">
        <f>Données_Brutes!A20</f>
        <v>18</v>
      </c>
      <c r="B21" s="12">
        <f>Données_Brutes!B20</f>
        <v>3.1E-4</v>
      </c>
      <c r="C21" s="12">
        <f t="shared" si="0"/>
        <v>0.99968999999999997</v>
      </c>
      <c r="D21" s="13">
        <f>Données_Brutes!C20</f>
        <v>99404</v>
      </c>
      <c r="E21" s="13">
        <f t="shared" si="1"/>
        <v>30.815239999999999</v>
      </c>
      <c r="F21" s="13">
        <f t="shared" si="2"/>
        <v>99389</v>
      </c>
      <c r="G21" s="13">
        <f>SUM(F21:F$107)</f>
        <v>6503968</v>
      </c>
      <c r="H21" s="14">
        <f t="shared" si="3"/>
        <v>65.429640658323606</v>
      </c>
    </row>
    <row r="22" spans="1:8" x14ac:dyDescent="0.25">
      <c r="A22" s="11">
        <f>Données_Brutes!A21</f>
        <v>19</v>
      </c>
      <c r="B22" s="12">
        <f>Données_Brutes!B21</f>
        <v>3.5E-4</v>
      </c>
      <c r="C22" s="12">
        <f t="shared" si="0"/>
        <v>0.99965000000000004</v>
      </c>
      <c r="D22" s="13">
        <f>Données_Brutes!C21</f>
        <v>99374</v>
      </c>
      <c r="E22" s="13">
        <f t="shared" si="1"/>
        <v>34.780900000000003</v>
      </c>
      <c r="F22" s="13">
        <f t="shared" si="2"/>
        <v>99356.5</v>
      </c>
      <c r="G22" s="13">
        <f>SUM(F22:F$107)</f>
        <v>6404579</v>
      </c>
      <c r="H22" s="14">
        <f t="shared" si="3"/>
        <v>64.449242256525849</v>
      </c>
    </row>
    <row r="23" spans="1:8" x14ac:dyDescent="0.25">
      <c r="A23" s="11">
        <f>Données_Brutes!A22</f>
        <v>20</v>
      </c>
      <c r="B23" s="12">
        <f>Données_Brutes!B22</f>
        <v>3.8000000000000002E-4</v>
      </c>
      <c r="C23" s="12">
        <f t="shared" si="0"/>
        <v>0.99961999999999995</v>
      </c>
      <c r="D23" s="13">
        <f>Données_Brutes!C22</f>
        <v>99339</v>
      </c>
      <c r="E23" s="13">
        <f t="shared" si="1"/>
        <v>37.748820000000002</v>
      </c>
      <c r="F23" s="13">
        <f t="shared" si="2"/>
        <v>99320</v>
      </c>
      <c r="G23" s="13">
        <f>SUM(F23:F$107)</f>
        <v>6305222.5</v>
      </c>
      <c r="H23" s="14">
        <f t="shared" si="3"/>
        <v>63.471773422321547</v>
      </c>
    </row>
    <row r="24" spans="1:8" x14ac:dyDescent="0.25">
      <c r="A24" s="11">
        <f>Données_Brutes!A23</f>
        <v>21</v>
      </c>
      <c r="B24" s="12">
        <f>Données_Brutes!B23</f>
        <v>4.0000000000000002E-4</v>
      </c>
      <c r="C24" s="12">
        <f t="shared" si="0"/>
        <v>0.99960000000000004</v>
      </c>
      <c r="D24" s="13">
        <f>Données_Brutes!C23</f>
        <v>99301</v>
      </c>
      <c r="E24" s="13">
        <f t="shared" si="1"/>
        <v>39.720400000000005</v>
      </c>
      <c r="F24" s="13">
        <f t="shared" si="2"/>
        <v>99281.5</v>
      </c>
      <c r="G24" s="13">
        <f>SUM(F24:F$107)</f>
        <v>6205902.5</v>
      </c>
      <c r="H24" s="14">
        <f t="shared" si="3"/>
        <v>62.49587113926345</v>
      </c>
    </row>
    <row r="25" spans="1:8" x14ac:dyDescent="0.25">
      <c r="A25" s="11">
        <f>Données_Brutes!A24</f>
        <v>22</v>
      </c>
      <c r="B25" s="12">
        <f>Données_Brutes!B24</f>
        <v>4.0000000000000002E-4</v>
      </c>
      <c r="C25" s="12">
        <f t="shared" si="0"/>
        <v>0.99960000000000004</v>
      </c>
      <c r="D25" s="13">
        <f>Données_Brutes!C24</f>
        <v>99262</v>
      </c>
      <c r="E25" s="13">
        <f t="shared" si="1"/>
        <v>39.704799999999999</v>
      </c>
      <c r="F25" s="13">
        <f t="shared" si="2"/>
        <v>99242</v>
      </c>
      <c r="G25" s="13">
        <f>SUM(F25:F$107)</f>
        <v>6106621</v>
      </c>
      <c r="H25" s="14">
        <f t="shared" si="3"/>
        <v>61.520229292176261</v>
      </c>
    </row>
    <row r="26" spans="1:8" x14ac:dyDescent="0.25">
      <c r="A26" s="11">
        <f>Données_Brutes!A25</f>
        <v>23</v>
      </c>
      <c r="B26" s="12">
        <f>Données_Brutes!B25</f>
        <v>4.0000000000000002E-4</v>
      </c>
      <c r="C26" s="12">
        <f t="shared" si="0"/>
        <v>0.99960000000000004</v>
      </c>
      <c r="D26" s="13">
        <f>Données_Brutes!C25</f>
        <v>99222</v>
      </c>
      <c r="E26" s="13">
        <f t="shared" si="1"/>
        <v>39.688800000000001</v>
      </c>
      <c r="F26" s="13">
        <f t="shared" si="2"/>
        <v>99202</v>
      </c>
      <c r="G26" s="13">
        <f>SUM(F26:F$107)</f>
        <v>6007379</v>
      </c>
      <c r="H26" s="14">
        <f t="shared" si="3"/>
        <v>60.544828767813591</v>
      </c>
    </row>
    <row r="27" spans="1:8" x14ac:dyDescent="0.25">
      <c r="A27" s="11">
        <f>Données_Brutes!A26</f>
        <v>24</v>
      </c>
      <c r="B27" s="12">
        <f>Données_Brutes!B26</f>
        <v>4.0999999999999999E-4</v>
      </c>
      <c r="C27" s="12">
        <f t="shared" si="0"/>
        <v>0.99958999999999998</v>
      </c>
      <c r="D27" s="13">
        <f>Données_Brutes!C26</f>
        <v>99182</v>
      </c>
      <c r="E27" s="13">
        <f t="shared" si="1"/>
        <v>40.664619999999999</v>
      </c>
      <c r="F27" s="13">
        <f t="shared" si="2"/>
        <v>99162</v>
      </c>
      <c r="G27" s="13">
        <f>SUM(F27:F$107)</f>
        <v>5908177</v>
      </c>
      <c r="H27" s="14">
        <f t="shared" si="3"/>
        <v>59.569044786352364</v>
      </c>
    </row>
    <row r="28" spans="1:8" x14ac:dyDescent="0.25">
      <c r="A28" s="11">
        <f>Données_Brutes!A27</f>
        <v>25</v>
      </c>
      <c r="B28" s="12">
        <f>Données_Brutes!B27</f>
        <v>4.2000000000000002E-4</v>
      </c>
      <c r="C28" s="12">
        <f t="shared" si="0"/>
        <v>0.99958000000000002</v>
      </c>
      <c r="D28" s="13">
        <f>Données_Brutes!C27</f>
        <v>99142</v>
      </c>
      <c r="E28" s="13">
        <f t="shared" si="1"/>
        <v>41.63964</v>
      </c>
      <c r="F28" s="13">
        <f t="shared" si="2"/>
        <v>99121</v>
      </c>
      <c r="G28" s="13">
        <f>SUM(F28:F$107)</f>
        <v>5809015</v>
      </c>
      <c r="H28" s="14">
        <f t="shared" si="3"/>
        <v>58.592876883661816</v>
      </c>
    </row>
    <row r="29" spans="1:8" x14ac:dyDescent="0.25">
      <c r="A29" s="11">
        <f>Données_Brutes!A28</f>
        <v>26</v>
      </c>
      <c r="B29" s="12">
        <f>Données_Brutes!B28</f>
        <v>4.2999999999999999E-4</v>
      </c>
      <c r="C29" s="12">
        <f t="shared" si="0"/>
        <v>0.99956999999999996</v>
      </c>
      <c r="D29" s="13">
        <f>Données_Brutes!C28</f>
        <v>99100</v>
      </c>
      <c r="E29" s="13">
        <f t="shared" si="1"/>
        <v>42.613</v>
      </c>
      <c r="F29" s="13">
        <f t="shared" si="2"/>
        <v>99078.5</v>
      </c>
      <c r="G29" s="13">
        <f>SUM(F29:F$107)</f>
        <v>5709894</v>
      </c>
      <c r="H29" s="14">
        <f t="shared" si="3"/>
        <v>57.617497477295657</v>
      </c>
    </row>
    <row r="30" spans="1:8" x14ac:dyDescent="0.25">
      <c r="A30" s="11">
        <f>Données_Brutes!A29</f>
        <v>27</v>
      </c>
      <c r="B30" s="12">
        <f>Données_Brutes!B29</f>
        <v>4.4999999999999999E-4</v>
      </c>
      <c r="C30" s="12">
        <f t="shared" si="0"/>
        <v>0.99955000000000005</v>
      </c>
      <c r="D30" s="13">
        <f>Données_Brutes!C29</f>
        <v>99057</v>
      </c>
      <c r="E30" s="13">
        <f t="shared" si="1"/>
        <v>44.575649999999996</v>
      </c>
      <c r="F30" s="13">
        <f t="shared" si="2"/>
        <v>99034.5</v>
      </c>
      <c r="G30" s="13">
        <f>SUM(F30:F$107)</f>
        <v>5610815.5</v>
      </c>
      <c r="H30" s="14">
        <f t="shared" si="3"/>
        <v>56.642291811785135</v>
      </c>
    </row>
    <row r="31" spans="1:8" x14ac:dyDescent="0.25">
      <c r="A31" s="11">
        <f>Données_Brutes!A30</f>
        <v>28</v>
      </c>
      <c r="B31" s="12">
        <f>Données_Brutes!B30</f>
        <v>5.0000000000000001E-4</v>
      </c>
      <c r="C31" s="12">
        <f t="shared" si="0"/>
        <v>0.99950000000000006</v>
      </c>
      <c r="D31" s="13">
        <f>Données_Brutes!C30</f>
        <v>99012</v>
      </c>
      <c r="E31" s="13">
        <f t="shared" si="1"/>
        <v>49.506</v>
      </c>
      <c r="F31" s="13">
        <f t="shared" si="2"/>
        <v>98987.5</v>
      </c>
      <c r="G31" s="13">
        <f>SUM(F31:F$107)</f>
        <v>5511781</v>
      </c>
      <c r="H31" s="14">
        <f t="shared" si="3"/>
        <v>55.667807942471619</v>
      </c>
    </row>
    <row r="32" spans="1:8" x14ac:dyDescent="0.25">
      <c r="A32" s="11">
        <f>Données_Brutes!A31</f>
        <v>29</v>
      </c>
      <c r="B32" s="12">
        <f>Données_Brutes!B31</f>
        <v>4.8999999999999998E-4</v>
      </c>
      <c r="C32" s="12">
        <f t="shared" si="0"/>
        <v>0.99951000000000001</v>
      </c>
      <c r="D32" s="13">
        <f>Données_Brutes!C31</f>
        <v>98963</v>
      </c>
      <c r="E32" s="13">
        <f t="shared" si="1"/>
        <v>48.491869999999999</v>
      </c>
      <c r="F32" s="13">
        <f t="shared" si="2"/>
        <v>98939</v>
      </c>
      <c r="G32" s="13">
        <f>SUM(F32:F$107)</f>
        <v>5412793.5</v>
      </c>
      <c r="H32" s="14">
        <f t="shared" si="3"/>
        <v>54.695123429968774</v>
      </c>
    </row>
    <row r="33" spans="1:8" x14ac:dyDescent="0.25">
      <c r="A33" s="11">
        <f>Données_Brutes!A32</f>
        <v>30</v>
      </c>
      <c r="B33" s="12">
        <f>Données_Brutes!B32</f>
        <v>5.1999999999999995E-4</v>
      </c>
      <c r="C33" s="12">
        <f t="shared" si="0"/>
        <v>0.99948000000000004</v>
      </c>
      <c r="D33" s="13">
        <f>Données_Brutes!C32</f>
        <v>98915</v>
      </c>
      <c r="E33" s="13">
        <f t="shared" si="1"/>
        <v>51.435799999999993</v>
      </c>
      <c r="F33" s="13">
        <f t="shared" si="2"/>
        <v>98889</v>
      </c>
      <c r="G33" s="13">
        <f>SUM(F33:F$107)</f>
        <v>5313854.5</v>
      </c>
      <c r="H33" s="14">
        <f t="shared" si="3"/>
        <v>53.721422433402417</v>
      </c>
    </row>
    <row r="34" spans="1:8" x14ac:dyDescent="0.25">
      <c r="A34" s="11">
        <f>Données_Brutes!A33</f>
        <v>31</v>
      </c>
      <c r="B34" s="12">
        <f>Données_Brutes!B33</f>
        <v>5.5999999999999995E-4</v>
      </c>
      <c r="C34" s="12">
        <f t="shared" si="0"/>
        <v>0.99944</v>
      </c>
      <c r="D34" s="13">
        <f>Données_Brutes!C33</f>
        <v>98863</v>
      </c>
      <c r="E34" s="13">
        <f t="shared" si="1"/>
        <v>55.363279999999996</v>
      </c>
      <c r="F34" s="13">
        <f t="shared" si="2"/>
        <v>98835.5</v>
      </c>
      <c r="G34" s="13">
        <f>SUM(F34:F$107)</f>
        <v>5214965.5</v>
      </c>
      <c r="H34" s="14">
        <f t="shared" si="3"/>
        <v>52.749415858308971</v>
      </c>
    </row>
    <row r="35" spans="1:8" x14ac:dyDescent="0.25">
      <c r="A35" s="11">
        <f>Données_Brutes!A34</f>
        <v>32</v>
      </c>
      <c r="B35" s="12">
        <f>Données_Brutes!B34</f>
        <v>5.5000000000000003E-4</v>
      </c>
      <c r="C35" s="12">
        <f t="shared" ref="C35:C66" si="4">1-B35</f>
        <v>0.99944999999999995</v>
      </c>
      <c r="D35" s="13">
        <f>Données_Brutes!C34</f>
        <v>98808</v>
      </c>
      <c r="E35" s="13">
        <f t="shared" ref="E35:E66" si="5">D35*B35</f>
        <v>54.3444</v>
      </c>
      <c r="F35" s="13">
        <f t="shared" ref="F35:F66" si="6">(D35+D36)/2</f>
        <v>98780.5</v>
      </c>
      <c r="G35" s="13">
        <f>SUM(F35:F$107)</f>
        <v>5116130</v>
      </c>
      <c r="H35" s="14">
        <f t="shared" ref="H35:H66" si="7">IF(D35&gt;0,G35/D35,0)</f>
        <v>51.778499716622136</v>
      </c>
    </row>
    <row r="36" spans="1:8" x14ac:dyDescent="0.25">
      <c r="A36" s="11">
        <f>Données_Brutes!A35</f>
        <v>33</v>
      </c>
      <c r="B36" s="12">
        <f>Données_Brutes!B35</f>
        <v>6.2E-4</v>
      </c>
      <c r="C36" s="12">
        <f t="shared" si="4"/>
        <v>0.99938000000000005</v>
      </c>
      <c r="D36" s="13">
        <f>Données_Brutes!C35</f>
        <v>98753</v>
      </c>
      <c r="E36" s="13">
        <f t="shared" si="5"/>
        <v>61.226860000000002</v>
      </c>
      <c r="F36" s="13">
        <f t="shared" si="6"/>
        <v>98722.5</v>
      </c>
      <c r="G36" s="13">
        <f>SUM(F36:F$107)</f>
        <v>5017349.5</v>
      </c>
      <c r="H36" s="14">
        <f t="shared" si="7"/>
        <v>50.807059026054908</v>
      </c>
    </row>
    <row r="37" spans="1:8" x14ac:dyDescent="0.25">
      <c r="A37" s="11">
        <f>Données_Brutes!A36</f>
        <v>34</v>
      </c>
      <c r="B37" s="12">
        <f>Données_Brutes!B36</f>
        <v>6.4999999999999997E-4</v>
      </c>
      <c r="C37" s="12">
        <f t="shared" si="4"/>
        <v>0.99934999999999996</v>
      </c>
      <c r="D37" s="13">
        <f>Données_Brutes!C36</f>
        <v>98692</v>
      </c>
      <c r="E37" s="13">
        <f t="shared" si="5"/>
        <v>64.149799999999999</v>
      </c>
      <c r="F37" s="13">
        <f t="shared" si="6"/>
        <v>98660</v>
      </c>
      <c r="G37" s="13">
        <f>SUM(F37:F$107)</f>
        <v>4918627</v>
      </c>
      <c r="H37" s="14">
        <f t="shared" si="7"/>
        <v>49.838153041786569</v>
      </c>
    </row>
    <row r="38" spans="1:8" x14ac:dyDescent="0.25">
      <c r="A38" s="11">
        <f>Données_Brutes!A37</f>
        <v>35</v>
      </c>
      <c r="B38" s="12">
        <f>Données_Brutes!B37</f>
        <v>7.1000000000000002E-4</v>
      </c>
      <c r="C38" s="12">
        <f t="shared" si="4"/>
        <v>0.99929000000000001</v>
      </c>
      <c r="D38" s="13">
        <f>Données_Brutes!C37</f>
        <v>98628</v>
      </c>
      <c r="E38" s="13">
        <f t="shared" si="5"/>
        <v>70.025880000000001</v>
      </c>
      <c r="F38" s="13">
        <f t="shared" si="6"/>
        <v>98592.5</v>
      </c>
      <c r="G38" s="13">
        <f>SUM(F38:F$107)</f>
        <v>4819967</v>
      </c>
      <c r="H38" s="14">
        <f t="shared" si="7"/>
        <v>48.870168714766599</v>
      </c>
    </row>
    <row r="39" spans="1:8" x14ac:dyDescent="0.25">
      <c r="A39" s="11">
        <f>Données_Brutes!A38</f>
        <v>36</v>
      </c>
      <c r="B39" s="12">
        <f>Données_Brutes!B38</f>
        <v>7.7999999999999999E-4</v>
      </c>
      <c r="C39" s="12">
        <f t="shared" si="4"/>
        <v>0.99922</v>
      </c>
      <c r="D39" s="13">
        <f>Données_Brutes!C38</f>
        <v>98557</v>
      </c>
      <c r="E39" s="13">
        <f t="shared" si="5"/>
        <v>76.874459999999999</v>
      </c>
      <c r="F39" s="13">
        <f t="shared" si="6"/>
        <v>98518.5</v>
      </c>
      <c r="G39" s="13">
        <f>SUM(F39:F$107)</f>
        <v>4721374.5</v>
      </c>
      <c r="H39" s="14">
        <f t="shared" si="7"/>
        <v>47.905014357174018</v>
      </c>
    </row>
    <row r="40" spans="1:8" x14ac:dyDescent="0.25">
      <c r="A40" s="11">
        <f>Données_Brutes!A39</f>
        <v>37</v>
      </c>
      <c r="B40" s="12">
        <f>Données_Brutes!B39</f>
        <v>8.5999999999999998E-4</v>
      </c>
      <c r="C40" s="12">
        <f t="shared" si="4"/>
        <v>0.99914000000000003</v>
      </c>
      <c r="D40" s="13">
        <f>Données_Brutes!C39</f>
        <v>98480</v>
      </c>
      <c r="E40" s="13">
        <f t="shared" si="5"/>
        <v>84.692799999999991</v>
      </c>
      <c r="F40" s="13">
        <f t="shared" si="6"/>
        <v>98438</v>
      </c>
      <c r="G40" s="13">
        <f>SUM(F40:F$107)</f>
        <v>4622856</v>
      </c>
      <c r="H40" s="14">
        <f t="shared" si="7"/>
        <v>46.942079610073108</v>
      </c>
    </row>
    <row r="41" spans="1:8" x14ac:dyDescent="0.25">
      <c r="A41" s="11">
        <f>Données_Brutes!A40</f>
        <v>38</v>
      </c>
      <c r="B41" s="12">
        <f>Données_Brutes!B40</f>
        <v>9.1E-4</v>
      </c>
      <c r="C41" s="12">
        <f t="shared" si="4"/>
        <v>0.99909000000000003</v>
      </c>
      <c r="D41" s="13">
        <f>Données_Brutes!C40</f>
        <v>98396</v>
      </c>
      <c r="E41" s="13">
        <f t="shared" si="5"/>
        <v>89.540360000000007</v>
      </c>
      <c r="F41" s="13">
        <f t="shared" si="6"/>
        <v>98351</v>
      </c>
      <c r="G41" s="13">
        <f>SUM(F41:F$107)</f>
        <v>4524418</v>
      </c>
      <c r="H41" s="14">
        <f t="shared" si="7"/>
        <v>45.981726899467461</v>
      </c>
    </row>
    <row r="42" spans="1:8" x14ac:dyDescent="0.25">
      <c r="A42" s="11">
        <f>Données_Brutes!A41</f>
        <v>39</v>
      </c>
      <c r="B42" s="12">
        <f>Données_Brutes!B41</f>
        <v>1.01E-3</v>
      </c>
      <c r="C42" s="12">
        <f t="shared" si="4"/>
        <v>0.99899000000000004</v>
      </c>
      <c r="D42" s="13">
        <f>Données_Brutes!C41</f>
        <v>98306</v>
      </c>
      <c r="E42" s="13">
        <f t="shared" si="5"/>
        <v>99.289060000000006</v>
      </c>
      <c r="F42" s="13">
        <f t="shared" si="6"/>
        <v>98256.5</v>
      </c>
      <c r="G42" s="13">
        <f>SUM(F42:F$107)</f>
        <v>4426067</v>
      </c>
      <c r="H42" s="14">
        <f t="shared" si="7"/>
        <v>45.023365816938949</v>
      </c>
    </row>
    <row r="43" spans="1:8" x14ac:dyDescent="0.25">
      <c r="A43" s="11">
        <f>Données_Brutes!A42</f>
        <v>40</v>
      </c>
      <c r="B43" s="12">
        <f>Données_Brutes!B42</f>
        <v>1.08E-3</v>
      </c>
      <c r="C43" s="12">
        <f t="shared" si="4"/>
        <v>0.99892000000000003</v>
      </c>
      <c r="D43" s="13">
        <f>Données_Brutes!C42</f>
        <v>98207</v>
      </c>
      <c r="E43" s="13">
        <f t="shared" si="5"/>
        <v>106.06356</v>
      </c>
      <c r="F43" s="13">
        <f t="shared" si="6"/>
        <v>98154</v>
      </c>
      <c r="G43" s="13">
        <f>SUM(F43:F$107)</f>
        <v>4327810.5</v>
      </c>
      <c r="H43" s="14">
        <f t="shared" si="7"/>
        <v>44.06824869917623</v>
      </c>
    </row>
    <row r="44" spans="1:8" x14ac:dyDescent="0.25">
      <c r="A44" s="11">
        <f>Données_Brutes!A43</f>
        <v>41</v>
      </c>
      <c r="B44" s="12">
        <f>Données_Brutes!B43</f>
        <v>1.1800000000000001E-3</v>
      </c>
      <c r="C44" s="12">
        <f t="shared" si="4"/>
        <v>0.99882000000000004</v>
      </c>
      <c r="D44" s="13">
        <f>Données_Brutes!C43</f>
        <v>98101</v>
      </c>
      <c r="E44" s="13">
        <f t="shared" si="5"/>
        <v>115.75918</v>
      </c>
      <c r="F44" s="13">
        <f t="shared" si="6"/>
        <v>98043</v>
      </c>
      <c r="G44" s="13">
        <f>SUM(F44:F$107)</f>
        <v>4229656.5</v>
      </c>
      <c r="H44" s="14">
        <f t="shared" si="7"/>
        <v>43.115325022171028</v>
      </c>
    </row>
    <row r="45" spans="1:8" x14ac:dyDescent="0.25">
      <c r="A45" s="11">
        <f>Données_Brutes!A44</f>
        <v>42</v>
      </c>
      <c r="B45" s="12">
        <f>Données_Brutes!B44</f>
        <v>1.2600000000000001E-3</v>
      </c>
      <c r="C45" s="12">
        <f t="shared" si="4"/>
        <v>0.99873999999999996</v>
      </c>
      <c r="D45" s="13">
        <f>Données_Brutes!C44</f>
        <v>97985</v>
      </c>
      <c r="E45" s="13">
        <f t="shared" si="5"/>
        <v>123.4611</v>
      </c>
      <c r="F45" s="13">
        <f t="shared" si="6"/>
        <v>97923.5</v>
      </c>
      <c r="G45" s="13">
        <f>SUM(F45:F$107)</f>
        <v>4131613.5</v>
      </c>
      <c r="H45" s="14">
        <f t="shared" si="7"/>
        <v>42.165775373781699</v>
      </c>
    </row>
    <row r="46" spans="1:8" x14ac:dyDescent="0.25">
      <c r="A46" s="11">
        <f>Données_Brutes!A45</f>
        <v>43</v>
      </c>
      <c r="B46" s="12">
        <f>Données_Brutes!B45</f>
        <v>1.3500000000000001E-3</v>
      </c>
      <c r="C46" s="12">
        <f t="shared" si="4"/>
        <v>0.99865000000000004</v>
      </c>
      <c r="D46" s="13">
        <f>Données_Brutes!C45</f>
        <v>97862</v>
      </c>
      <c r="E46" s="13">
        <f t="shared" si="5"/>
        <v>132.11369999999999</v>
      </c>
      <c r="F46" s="13">
        <f t="shared" si="6"/>
        <v>97796</v>
      </c>
      <c r="G46" s="13">
        <f>SUM(F46:F$107)</f>
        <v>4033690</v>
      </c>
      <c r="H46" s="14">
        <f t="shared" si="7"/>
        <v>41.218143916944271</v>
      </c>
    </row>
    <row r="47" spans="1:8" x14ac:dyDescent="0.25">
      <c r="A47" s="11">
        <f>Données_Brutes!A46</f>
        <v>44</v>
      </c>
      <c r="B47" s="12">
        <f>Données_Brutes!B46</f>
        <v>1.4599999999999999E-3</v>
      </c>
      <c r="C47" s="12">
        <f t="shared" si="4"/>
        <v>0.99853999999999998</v>
      </c>
      <c r="D47" s="13">
        <f>Données_Brutes!C46</f>
        <v>97730</v>
      </c>
      <c r="E47" s="13">
        <f t="shared" si="5"/>
        <v>142.6858</v>
      </c>
      <c r="F47" s="13">
        <f t="shared" si="6"/>
        <v>97658.5</v>
      </c>
      <c r="G47" s="13">
        <f>SUM(F47:F$107)</f>
        <v>3935894</v>
      </c>
      <c r="H47" s="14">
        <f t="shared" si="7"/>
        <v>40.273140284457178</v>
      </c>
    </row>
    <row r="48" spans="1:8" x14ac:dyDescent="0.25">
      <c r="A48" s="11">
        <f>Données_Brutes!A47</f>
        <v>45</v>
      </c>
      <c r="B48" s="12">
        <f>Données_Brutes!B47</f>
        <v>1.6299999999999999E-3</v>
      </c>
      <c r="C48" s="12">
        <f t="shared" si="4"/>
        <v>0.99836999999999998</v>
      </c>
      <c r="D48" s="13">
        <f>Données_Brutes!C47</f>
        <v>97587</v>
      </c>
      <c r="E48" s="13">
        <f t="shared" si="5"/>
        <v>159.06681</v>
      </c>
      <c r="F48" s="13">
        <f t="shared" si="6"/>
        <v>97507.5</v>
      </c>
      <c r="G48" s="13">
        <f>SUM(F48:F$107)</f>
        <v>3838235.5</v>
      </c>
      <c r="H48" s="14">
        <f t="shared" si="7"/>
        <v>39.331422218123315</v>
      </c>
    </row>
    <row r="49" spans="1:8" x14ac:dyDescent="0.25">
      <c r="A49" s="11">
        <f>Données_Brutes!A48</f>
        <v>46</v>
      </c>
      <c r="B49" s="12">
        <f>Données_Brutes!B48</f>
        <v>1.73E-3</v>
      </c>
      <c r="C49" s="12">
        <f t="shared" si="4"/>
        <v>0.99826999999999999</v>
      </c>
      <c r="D49" s="13">
        <f>Données_Brutes!C48</f>
        <v>97428</v>
      </c>
      <c r="E49" s="13">
        <f t="shared" si="5"/>
        <v>168.55044000000001</v>
      </c>
      <c r="F49" s="13">
        <f t="shared" si="6"/>
        <v>97343.5</v>
      </c>
      <c r="G49" s="13">
        <f>SUM(F49:F$107)</f>
        <v>3740728</v>
      </c>
      <c r="H49" s="14">
        <f t="shared" si="7"/>
        <v>38.394794104364252</v>
      </c>
    </row>
    <row r="50" spans="1:8" x14ac:dyDescent="0.25">
      <c r="A50" s="11">
        <f>Données_Brutes!A49</f>
        <v>47</v>
      </c>
      <c r="B50" s="12">
        <f>Données_Brutes!B49</f>
        <v>1.8699999999999999E-3</v>
      </c>
      <c r="C50" s="12">
        <f t="shared" si="4"/>
        <v>0.99812999999999996</v>
      </c>
      <c r="D50" s="13">
        <f>Données_Brutes!C49</f>
        <v>97259</v>
      </c>
      <c r="E50" s="13">
        <f t="shared" si="5"/>
        <v>181.87432999999999</v>
      </c>
      <c r="F50" s="13">
        <f t="shared" si="6"/>
        <v>97168</v>
      </c>
      <c r="G50" s="13">
        <f>SUM(F50:F$107)</f>
        <v>3643384.5</v>
      </c>
      <c r="H50" s="14">
        <f t="shared" si="7"/>
        <v>37.460641174595665</v>
      </c>
    </row>
    <row r="51" spans="1:8" x14ac:dyDescent="0.25">
      <c r="A51" s="11">
        <f>Données_Brutes!A50</f>
        <v>48</v>
      </c>
      <c r="B51" s="12">
        <f>Données_Brutes!B50</f>
        <v>2.0699999999999998E-3</v>
      </c>
      <c r="C51" s="12">
        <f t="shared" si="4"/>
        <v>0.99792999999999998</v>
      </c>
      <c r="D51" s="13">
        <f>Données_Brutes!C50</f>
        <v>97077</v>
      </c>
      <c r="E51" s="13">
        <f t="shared" si="5"/>
        <v>200.94938999999999</v>
      </c>
      <c r="F51" s="13">
        <f t="shared" si="6"/>
        <v>96976.5</v>
      </c>
      <c r="G51" s="13">
        <f>SUM(F51:F$107)</f>
        <v>3546216.5</v>
      </c>
      <c r="H51" s="14">
        <f t="shared" si="7"/>
        <v>36.529935000051502</v>
      </c>
    </row>
    <row r="52" spans="1:8" x14ac:dyDescent="0.25">
      <c r="A52" s="11">
        <f>Données_Brutes!A51</f>
        <v>49</v>
      </c>
      <c r="B52" s="12">
        <f>Données_Brutes!B51</f>
        <v>2.31E-3</v>
      </c>
      <c r="C52" s="12">
        <f t="shared" si="4"/>
        <v>0.99768999999999997</v>
      </c>
      <c r="D52" s="13">
        <f>Données_Brutes!C51</f>
        <v>96876</v>
      </c>
      <c r="E52" s="13">
        <f t="shared" si="5"/>
        <v>223.78355999999999</v>
      </c>
      <c r="F52" s="13">
        <f t="shared" si="6"/>
        <v>96764.5</v>
      </c>
      <c r="G52" s="13">
        <f>SUM(F52:F$107)</f>
        <v>3449240</v>
      </c>
      <c r="H52" s="14">
        <f t="shared" si="7"/>
        <v>35.604690532226762</v>
      </c>
    </row>
    <row r="53" spans="1:8" x14ac:dyDescent="0.25">
      <c r="A53" s="11">
        <f>Données_Brutes!A52</f>
        <v>50</v>
      </c>
      <c r="B53" s="12">
        <f>Données_Brutes!B52</f>
        <v>2.5699999999999998E-3</v>
      </c>
      <c r="C53" s="12">
        <f t="shared" si="4"/>
        <v>0.99743000000000004</v>
      </c>
      <c r="D53" s="13">
        <f>Données_Brutes!C52</f>
        <v>96653</v>
      </c>
      <c r="E53" s="13">
        <f t="shared" si="5"/>
        <v>248.39820999999998</v>
      </c>
      <c r="F53" s="13">
        <f t="shared" si="6"/>
        <v>96528.5</v>
      </c>
      <c r="G53" s="13">
        <f>SUM(F53:F$107)</f>
        <v>3352475.5</v>
      </c>
      <c r="H53" s="14">
        <f t="shared" si="7"/>
        <v>34.685684872688896</v>
      </c>
    </row>
    <row r="54" spans="1:8" x14ac:dyDescent="0.25">
      <c r="A54" s="11">
        <f>Données_Brutes!A53</f>
        <v>51</v>
      </c>
      <c r="B54" s="12">
        <f>Données_Brutes!B53</f>
        <v>2.7899999999999999E-3</v>
      </c>
      <c r="C54" s="12">
        <f t="shared" si="4"/>
        <v>0.99721000000000004</v>
      </c>
      <c r="D54" s="13">
        <f>Données_Brutes!C53</f>
        <v>96404</v>
      </c>
      <c r="E54" s="13">
        <f t="shared" si="5"/>
        <v>268.96715999999998</v>
      </c>
      <c r="F54" s="13">
        <f t="shared" si="6"/>
        <v>96270</v>
      </c>
      <c r="G54" s="13">
        <f>SUM(F54:F$107)</f>
        <v>3255947</v>
      </c>
      <c r="H54" s="14">
        <f t="shared" si="7"/>
        <v>33.77398240736899</v>
      </c>
    </row>
    <row r="55" spans="1:8" x14ac:dyDescent="0.25">
      <c r="A55" s="11">
        <f>Données_Brutes!A54</f>
        <v>52</v>
      </c>
      <c r="B55" s="12">
        <f>Données_Brutes!B54</f>
        <v>3.0999999999999999E-3</v>
      </c>
      <c r="C55" s="12">
        <f t="shared" si="4"/>
        <v>0.99690000000000001</v>
      </c>
      <c r="D55" s="13">
        <f>Données_Brutes!C54</f>
        <v>96136</v>
      </c>
      <c r="E55" s="13">
        <f t="shared" si="5"/>
        <v>298.02159999999998</v>
      </c>
      <c r="F55" s="13">
        <f t="shared" si="6"/>
        <v>95987</v>
      </c>
      <c r="G55" s="13">
        <f>SUM(F55:F$107)</f>
        <v>3159677</v>
      </c>
      <c r="H55" s="14">
        <f t="shared" si="7"/>
        <v>32.866740867104937</v>
      </c>
    </row>
    <row r="56" spans="1:8" x14ac:dyDescent="0.25">
      <c r="A56" s="11">
        <f>Données_Brutes!A55</f>
        <v>53</v>
      </c>
      <c r="B56" s="12">
        <f>Données_Brutes!B55</f>
        <v>3.3899999999999998E-3</v>
      </c>
      <c r="C56" s="12">
        <f t="shared" si="4"/>
        <v>0.99661</v>
      </c>
      <c r="D56" s="13">
        <f>Données_Brutes!C55</f>
        <v>95838</v>
      </c>
      <c r="E56" s="13">
        <f t="shared" si="5"/>
        <v>324.89081999999996</v>
      </c>
      <c r="F56" s="13">
        <f t="shared" si="6"/>
        <v>95675.5</v>
      </c>
      <c r="G56" s="13">
        <f>SUM(F56:F$107)</f>
        <v>3063690</v>
      </c>
      <c r="H56" s="14">
        <f t="shared" si="7"/>
        <v>31.967382457897703</v>
      </c>
    </row>
    <row r="57" spans="1:8" x14ac:dyDescent="0.25">
      <c r="A57" s="11">
        <f>Données_Brutes!A56</f>
        <v>54</v>
      </c>
      <c r="B57" s="12">
        <f>Données_Brutes!B56</f>
        <v>3.6700000000000001E-3</v>
      </c>
      <c r="C57" s="12">
        <f t="shared" si="4"/>
        <v>0.99633000000000005</v>
      </c>
      <c r="D57" s="13">
        <f>Données_Brutes!C56</f>
        <v>95513</v>
      </c>
      <c r="E57" s="13">
        <f t="shared" si="5"/>
        <v>350.53271000000001</v>
      </c>
      <c r="F57" s="13">
        <f t="shared" si="6"/>
        <v>95337.5</v>
      </c>
      <c r="G57" s="13">
        <f>SUM(F57:F$107)</f>
        <v>2968014.5</v>
      </c>
      <c r="H57" s="14">
        <f t="shared" si="7"/>
        <v>31.074455833237359</v>
      </c>
    </row>
    <row r="58" spans="1:8" x14ac:dyDescent="0.25">
      <c r="A58" s="11">
        <f>Données_Brutes!A57</f>
        <v>55</v>
      </c>
      <c r="B58" s="12">
        <f>Données_Brutes!B57</f>
        <v>4.0299999999999997E-3</v>
      </c>
      <c r="C58" s="12">
        <f t="shared" si="4"/>
        <v>0.99597000000000002</v>
      </c>
      <c r="D58" s="13">
        <f>Données_Brutes!C57</f>
        <v>95162</v>
      </c>
      <c r="E58" s="13">
        <f t="shared" si="5"/>
        <v>383.50286</v>
      </c>
      <c r="F58" s="13">
        <f t="shared" si="6"/>
        <v>94970.5</v>
      </c>
      <c r="G58" s="13">
        <f>SUM(F58:F$107)</f>
        <v>2872677</v>
      </c>
      <c r="H58" s="14">
        <f t="shared" si="7"/>
        <v>30.187228095248102</v>
      </c>
    </row>
    <row r="59" spans="1:8" x14ac:dyDescent="0.25">
      <c r="A59" s="11">
        <f>Données_Brutes!A58</f>
        <v>56</v>
      </c>
      <c r="B59" s="12">
        <f>Données_Brutes!B58</f>
        <v>4.3899999999999998E-3</v>
      </c>
      <c r="C59" s="12">
        <f t="shared" si="4"/>
        <v>0.99560999999999999</v>
      </c>
      <c r="D59" s="13">
        <f>Données_Brutes!C58</f>
        <v>94779</v>
      </c>
      <c r="E59" s="13">
        <f t="shared" si="5"/>
        <v>416.07981000000001</v>
      </c>
      <c r="F59" s="13">
        <f t="shared" si="6"/>
        <v>94571</v>
      </c>
      <c r="G59" s="13">
        <f>SUM(F59:F$107)</f>
        <v>2777706.5</v>
      </c>
      <c r="H59" s="14">
        <f t="shared" si="7"/>
        <v>29.307193576636173</v>
      </c>
    </row>
    <row r="60" spans="1:8" x14ac:dyDescent="0.25">
      <c r="A60" s="11">
        <f>Données_Brutes!A59</f>
        <v>57</v>
      </c>
      <c r="B60" s="12">
        <f>Données_Brutes!B59</f>
        <v>4.81E-3</v>
      </c>
      <c r="C60" s="12">
        <f t="shared" si="4"/>
        <v>0.99519000000000002</v>
      </c>
      <c r="D60" s="13">
        <f>Données_Brutes!C59</f>
        <v>94363</v>
      </c>
      <c r="E60" s="13">
        <f t="shared" si="5"/>
        <v>453.88603000000001</v>
      </c>
      <c r="F60" s="13">
        <f t="shared" si="6"/>
        <v>94136</v>
      </c>
      <c r="G60" s="13">
        <f>SUM(F60:F$107)</f>
        <v>2683135.5</v>
      </c>
      <c r="H60" s="14">
        <f t="shared" si="7"/>
        <v>28.434190307641767</v>
      </c>
    </row>
    <row r="61" spans="1:8" x14ac:dyDescent="0.25">
      <c r="A61" s="11">
        <f>Données_Brutes!A60</f>
        <v>58</v>
      </c>
      <c r="B61" s="12">
        <f>Données_Brutes!B60</f>
        <v>5.2199999999999998E-3</v>
      </c>
      <c r="C61" s="12">
        <f t="shared" si="4"/>
        <v>0.99478</v>
      </c>
      <c r="D61" s="13">
        <f>Données_Brutes!C60</f>
        <v>93909</v>
      </c>
      <c r="E61" s="13">
        <f t="shared" si="5"/>
        <v>490.20497999999998</v>
      </c>
      <c r="F61" s="13">
        <f t="shared" si="6"/>
        <v>93664</v>
      </c>
      <c r="G61" s="13">
        <f>SUM(F61:F$107)</f>
        <v>2588999.5</v>
      </c>
      <c r="H61" s="14">
        <f t="shared" si="7"/>
        <v>27.569237240307107</v>
      </c>
    </row>
    <row r="62" spans="1:8" x14ac:dyDescent="0.25">
      <c r="A62" s="11">
        <f>Données_Brutes!A61</f>
        <v>59</v>
      </c>
      <c r="B62" s="12">
        <f>Données_Brutes!B61</f>
        <v>5.5500000000000002E-3</v>
      </c>
      <c r="C62" s="12">
        <f t="shared" si="4"/>
        <v>0.99444999999999995</v>
      </c>
      <c r="D62" s="13">
        <f>Données_Brutes!C61</f>
        <v>93419</v>
      </c>
      <c r="E62" s="13">
        <f t="shared" si="5"/>
        <v>518.47545000000002</v>
      </c>
      <c r="F62" s="13">
        <f t="shared" si="6"/>
        <v>93160</v>
      </c>
      <c r="G62" s="13">
        <f>SUM(F62:F$107)</f>
        <v>2495335.5</v>
      </c>
      <c r="H62" s="14">
        <f t="shared" si="7"/>
        <v>26.71122041554716</v>
      </c>
    </row>
    <row r="63" spans="1:8" x14ac:dyDescent="0.25">
      <c r="A63" s="11">
        <f>Données_Brutes!A62</f>
        <v>60</v>
      </c>
      <c r="B63" s="12">
        <f>Données_Brutes!B62</f>
        <v>6.0800000000000003E-3</v>
      </c>
      <c r="C63" s="12">
        <f t="shared" si="4"/>
        <v>0.99392000000000003</v>
      </c>
      <c r="D63" s="13">
        <f>Données_Brutes!C62</f>
        <v>92901</v>
      </c>
      <c r="E63" s="13">
        <f t="shared" si="5"/>
        <v>564.83807999999999</v>
      </c>
      <c r="F63" s="13">
        <f t="shared" si="6"/>
        <v>92618.5</v>
      </c>
      <c r="G63" s="13">
        <f>SUM(F63:F$107)</f>
        <v>2402175.5</v>
      </c>
      <c r="H63" s="14">
        <f t="shared" si="7"/>
        <v>25.857369673092862</v>
      </c>
    </row>
    <row r="64" spans="1:8" x14ac:dyDescent="0.25">
      <c r="A64" s="11">
        <f>Données_Brutes!A63</f>
        <v>61</v>
      </c>
      <c r="B64" s="12">
        <f>Données_Brutes!B63</f>
        <v>6.6400000000000001E-3</v>
      </c>
      <c r="C64" s="12">
        <f t="shared" si="4"/>
        <v>0.99336000000000002</v>
      </c>
      <c r="D64" s="13">
        <f>Données_Brutes!C63</f>
        <v>92336</v>
      </c>
      <c r="E64" s="13">
        <f t="shared" si="5"/>
        <v>613.11104</v>
      </c>
      <c r="F64" s="13">
        <f t="shared" si="6"/>
        <v>92029.5</v>
      </c>
      <c r="G64" s="13">
        <f>SUM(F64:F$107)</f>
        <v>2309557</v>
      </c>
      <c r="H64" s="14">
        <f t="shared" si="7"/>
        <v>25.012530324033964</v>
      </c>
    </row>
    <row r="65" spans="1:8" x14ac:dyDescent="0.25">
      <c r="A65" s="11">
        <f>Données_Brutes!A64</f>
        <v>62</v>
      </c>
      <c r="B65" s="12">
        <f>Données_Brutes!B64</f>
        <v>7.3000000000000001E-3</v>
      </c>
      <c r="C65" s="12">
        <f t="shared" si="4"/>
        <v>0.99270000000000003</v>
      </c>
      <c r="D65" s="13">
        <f>Données_Brutes!C64</f>
        <v>91723</v>
      </c>
      <c r="E65" s="13">
        <f t="shared" si="5"/>
        <v>669.5779</v>
      </c>
      <c r="F65" s="13">
        <f t="shared" si="6"/>
        <v>91388</v>
      </c>
      <c r="G65" s="13">
        <f>SUM(F65:F$107)</f>
        <v>2217527.5</v>
      </c>
      <c r="H65" s="14">
        <f t="shared" si="7"/>
        <v>24.176351623911124</v>
      </c>
    </row>
    <row r="66" spans="1:8" x14ac:dyDescent="0.25">
      <c r="A66" s="11">
        <f>Données_Brutes!A65</f>
        <v>63</v>
      </c>
      <c r="B66" s="12">
        <f>Données_Brutes!B65</f>
        <v>8.0099999999999998E-3</v>
      </c>
      <c r="C66" s="12">
        <f t="shared" si="4"/>
        <v>0.99199000000000004</v>
      </c>
      <c r="D66" s="13">
        <f>Données_Brutes!C65</f>
        <v>91053</v>
      </c>
      <c r="E66" s="13">
        <f t="shared" si="5"/>
        <v>729.33452999999997</v>
      </c>
      <c r="F66" s="13">
        <f t="shared" si="6"/>
        <v>90688.5</v>
      </c>
      <c r="G66" s="13">
        <f>SUM(F66:F$107)</f>
        <v>2126139.5</v>
      </c>
      <c r="H66" s="14">
        <f t="shared" si="7"/>
        <v>23.350570546824375</v>
      </c>
    </row>
    <row r="67" spans="1:8" x14ac:dyDescent="0.25">
      <c r="A67" s="11">
        <f>Données_Brutes!A66</f>
        <v>64</v>
      </c>
      <c r="B67" s="12">
        <f>Données_Brutes!B66</f>
        <v>8.6599999999999993E-3</v>
      </c>
      <c r="C67" s="12">
        <f t="shared" ref="C67:C98" si="8">1-B67</f>
        <v>0.99134</v>
      </c>
      <c r="D67" s="13">
        <f>Données_Brutes!C66</f>
        <v>90324</v>
      </c>
      <c r="E67" s="13">
        <f t="shared" ref="E67:E98" si="9">D67*B67</f>
        <v>782.20583999999997</v>
      </c>
      <c r="F67" s="13">
        <f t="shared" ref="F67:F98" si="10">(D67+D68)/2</f>
        <v>89933</v>
      </c>
      <c r="G67" s="13">
        <f>SUM(F67:F$107)</f>
        <v>2035451</v>
      </c>
      <c r="H67" s="14">
        <f t="shared" ref="H67:H98" si="11">IF(D67&gt;0,G67/D67,0)</f>
        <v>22.534996235773438</v>
      </c>
    </row>
    <row r="68" spans="1:8" x14ac:dyDescent="0.25">
      <c r="A68" s="11">
        <f>Données_Brutes!A67</f>
        <v>65</v>
      </c>
      <c r="B68" s="12">
        <f>Données_Brutes!B67</f>
        <v>9.3600000000000003E-3</v>
      </c>
      <c r="C68" s="12">
        <f t="shared" si="8"/>
        <v>0.99063999999999997</v>
      </c>
      <c r="D68" s="13">
        <f>Données_Brutes!C67</f>
        <v>89542</v>
      </c>
      <c r="E68" s="13">
        <f t="shared" si="9"/>
        <v>838.11311999999998</v>
      </c>
      <c r="F68" s="13">
        <f t="shared" si="10"/>
        <v>89123</v>
      </c>
      <c r="G68" s="13">
        <f>SUM(F68:F$107)</f>
        <v>1945518</v>
      </c>
      <c r="H68" s="14">
        <f t="shared" si="11"/>
        <v>21.72743517008778</v>
      </c>
    </row>
    <row r="69" spans="1:8" x14ac:dyDescent="0.25">
      <c r="A69" s="11">
        <f>Données_Brutes!A68</f>
        <v>66</v>
      </c>
      <c r="B69" s="12">
        <f>Données_Brutes!B68</f>
        <v>1.018E-2</v>
      </c>
      <c r="C69" s="12">
        <f t="shared" si="8"/>
        <v>0.98982000000000003</v>
      </c>
      <c r="D69" s="13">
        <f>Données_Brutes!C68</f>
        <v>88704</v>
      </c>
      <c r="E69" s="13">
        <f t="shared" si="9"/>
        <v>903.00671999999997</v>
      </c>
      <c r="F69" s="13">
        <f t="shared" si="10"/>
        <v>88252.5</v>
      </c>
      <c r="G69" s="13">
        <f>SUM(F69:F$107)</f>
        <v>1856395</v>
      </c>
      <c r="H69" s="14">
        <f t="shared" si="11"/>
        <v>20.927973935786436</v>
      </c>
    </row>
    <row r="70" spans="1:8" x14ac:dyDescent="0.25">
      <c r="A70" s="11">
        <f>Données_Brutes!A69</f>
        <v>67</v>
      </c>
      <c r="B70" s="12">
        <f>Données_Brutes!B69</f>
        <v>1.085E-2</v>
      </c>
      <c r="C70" s="12">
        <f t="shared" si="8"/>
        <v>0.98914999999999997</v>
      </c>
      <c r="D70" s="13">
        <f>Données_Brutes!C69</f>
        <v>87801</v>
      </c>
      <c r="E70" s="13">
        <f t="shared" si="9"/>
        <v>952.64085</v>
      </c>
      <c r="F70" s="13">
        <f t="shared" si="10"/>
        <v>87324.5</v>
      </c>
      <c r="G70" s="13">
        <f>SUM(F70:F$107)</f>
        <v>1768142.5</v>
      </c>
      <c r="H70" s="14">
        <f t="shared" si="11"/>
        <v>20.138067903554628</v>
      </c>
    </row>
    <row r="71" spans="1:8" x14ac:dyDescent="0.25">
      <c r="A71" s="11">
        <f>Données_Brutes!A70</f>
        <v>68</v>
      </c>
      <c r="B71" s="12">
        <f>Données_Brutes!B70</f>
        <v>1.176E-2</v>
      </c>
      <c r="C71" s="12">
        <f t="shared" si="8"/>
        <v>0.98824000000000001</v>
      </c>
      <c r="D71" s="13">
        <f>Données_Brutes!C70</f>
        <v>86848</v>
      </c>
      <c r="E71" s="13">
        <f t="shared" si="9"/>
        <v>1021.3324799999999</v>
      </c>
      <c r="F71" s="13">
        <f t="shared" si="10"/>
        <v>86337</v>
      </c>
      <c r="G71" s="13">
        <f>SUM(F71:F$107)</f>
        <v>1680818</v>
      </c>
      <c r="H71" s="14">
        <f t="shared" si="11"/>
        <v>19.353560243183495</v>
      </c>
    </row>
    <row r="72" spans="1:8" x14ac:dyDescent="0.25">
      <c r="A72" s="11">
        <f>Données_Brutes!A71</f>
        <v>69</v>
      </c>
      <c r="B72" s="12">
        <f>Données_Brutes!B71</f>
        <v>1.2630000000000001E-2</v>
      </c>
      <c r="C72" s="12">
        <f t="shared" si="8"/>
        <v>0.98736999999999997</v>
      </c>
      <c r="D72" s="13">
        <f>Données_Brutes!C71</f>
        <v>85826</v>
      </c>
      <c r="E72" s="13">
        <f t="shared" si="9"/>
        <v>1083.9823800000001</v>
      </c>
      <c r="F72" s="13">
        <f t="shared" si="10"/>
        <v>85284</v>
      </c>
      <c r="G72" s="13">
        <f>SUM(F72:F$107)</f>
        <v>1594481</v>
      </c>
      <c r="H72" s="14">
        <f t="shared" si="11"/>
        <v>18.578064922051592</v>
      </c>
    </row>
    <row r="73" spans="1:8" x14ac:dyDescent="0.25">
      <c r="A73" s="11">
        <f>Données_Brutes!A72</f>
        <v>70</v>
      </c>
      <c r="B73" s="12">
        <f>Données_Brutes!B72</f>
        <v>1.3650000000000001E-2</v>
      </c>
      <c r="C73" s="12">
        <f t="shared" si="8"/>
        <v>0.98634999999999995</v>
      </c>
      <c r="D73" s="13">
        <f>Données_Brutes!C72</f>
        <v>84742</v>
      </c>
      <c r="E73" s="13">
        <f t="shared" si="9"/>
        <v>1156.7283</v>
      </c>
      <c r="F73" s="13">
        <f t="shared" si="10"/>
        <v>84164</v>
      </c>
      <c r="G73" s="13">
        <f>SUM(F73:F$107)</f>
        <v>1509197</v>
      </c>
      <c r="H73" s="14">
        <f t="shared" si="11"/>
        <v>17.809315333600811</v>
      </c>
    </row>
    <row r="74" spans="1:8" x14ac:dyDescent="0.25">
      <c r="A74" s="11">
        <f>Données_Brutes!A73</f>
        <v>71</v>
      </c>
      <c r="B74" s="12">
        <f>Données_Brutes!B73</f>
        <v>1.4619999999999999E-2</v>
      </c>
      <c r="C74" s="12">
        <f t="shared" si="8"/>
        <v>0.98538000000000003</v>
      </c>
      <c r="D74" s="13">
        <f>Données_Brutes!C73</f>
        <v>83586</v>
      </c>
      <c r="E74" s="13">
        <f t="shared" si="9"/>
        <v>1222.0273199999999</v>
      </c>
      <c r="F74" s="13">
        <f t="shared" si="10"/>
        <v>82975</v>
      </c>
      <c r="G74" s="13">
        <f>SUM(F74:F$107)</f>
        <v>1425033</v>
      </c>
      <c r="H74" s="14">
        <f t="shared" si="11"/>
        <v>17.04870432847606</v>
      </c>
    </row>
    <row r="75" spans="1:8" x14ac:dyDescent="0.25">
      <c r="A75" s="11">
        <f>Données_Brutes!A74</f>
        <v>72</v>
      </c>
      <c r="B75" s="12">
        <f>Données_Brutes!B74</f>
        <v>1.5789999999999998E-2</v>
      </c>
      <c r="C75" s="12">
        <f t="shared" si="8"/>
        <v>0.98421000000000003</v>
      </c>
      <c r="D75" s="13">
        <f>Données_Brutes!C74</f>
        <v>82364</v>
      </c>
      <c r="E75" s="13">
        <f t="shared" si="9"/>
        <v>1300.5275599999998</v>
      </c>
      <c r="F75" s="13">
        <f t="shared" si="10"/>
        <v>81713.5</v>
      </c>
      <c r="G75" s="13">
        <f>SUM(F75:F$107)</f>
        <v>1342058</v>
      </c>
      <c r="H75" s="14">
        <f t="shared" si="11"/>
        <v>16.294230489048612</v>
      </c>
    </row>
    <row r="76" spans="1:8" x14ac:dyDescent="0.25">
      <c r="A76" s="11">
        <f>Données_Brutes!A75</f>
        <v>73</v>
      </c>
      <c r="B76" s="12">
        <f>Données_Brutes!B75</f>
        <v>1.7000000000000001E-2</v>
      </c>
      <c r="C76" s="12">
        <f t="shared" si="8"/>
        <v>0.98299999999999998</v>
      </c>
      <c r="D76" s="13">
        <f>Données_Brutes!C75</f>
        <v>81063</v>
      </c>
      <c r="E76" s="13">
        <f t="shared" si="9"/>
        <v>1378.0710000000001</v>
      </c>
      <c r="F76" s="13">
        <f t="shared" si="10"/>
        <v>80374</v>
      </c>
      <c r="G76" s="13">
        <f>SUM(F76:F$107)</f>
        <v>1260344.5</v>
      </c>
      <c r="H76" s="14">
        <f t="shared" si="11"/>
        <v>15.547715973995535</v>
      </c>
    </row>
    <row r="77" spans="1:8" x14ac:dyDescent="0.25">
      <c r="A77" s="11">
        <f>Données_Brutes!A76</f>
        <v>74</v>
      </c>
      <c r="B77" s="12">
        <f>Données_Brutes!B76</f>
        <v>1.8339999999999999E-2</v>
      </c>
      <c r="C77" s="12">
        <f t="shared" si="8"/>
        <v>0.98165999999999998</v>
      </c>
      <c r="D77" s="13">
        <f>Données_Brutes!C76</f>
        <v>79685</v>
      </c>
      <c r="E77" s="13">
        <f t="shared" si="9"/>
        <v>1461.4228999999998</v>
      </c>
      <c r="F77" s="13">
        <f t="shared" si="10"/>
        <v>78954.5</v>
      </c>
      <c r="G77" s="13">
        <f>SUM(F77:F$107)</f>
        <v>1179970.5</v>
      </c>
      <c r="H77" s="14">
        <f t="shared" si="11"/>
        <v>14.807937503921691</v>
      </c>
    </row>
    <row r="78" spans="1:8" x14ac:dyDescent="0.25">
      <c r="A78" s="11">
        <f>Données_Brutes!A77</f>
        <v>75</v>
      </c>
      <c r="B78" s="12">
        <f>Données_Brutes!B77</f>
        <v>1.9779999999999999E-2</v>
      </c>
      <c r="C78" s="12">
        <f t="shared" si="8"/>
        <v>0.98021999999999998</v>
      </c>
      <c r="D78" s="13">
        <f>Données_Brutes!C77</f>
        <v>78224</v>
      </c>
      <c r="E78" s="13">
        <f t="shared" si="9"/>
        <v>1547.27072</v>
      </c>
      <c r="F78" s="13">
        <f t="shared" si="10"/>
        <v>77450.5</v>
      </c>
      <c r="G78" s="13">
        <f>SUM(F78:F$107)</f>
        <v>1101016</v>
      </c>
      <c r="H78" s="14">
        <f t="shared" si="11"/>
        <v>14.075168746164859</v>
      </c>
    </row>
    <row r="79" spans="1:8" x14ac:dyDescent="0.25">
      <c r="A79" s="11">
        <f>Données_Brutes!A78</f>
        <v>76</v>
      </c>
      <c r="B79" s="12">
        <f>Données_Brutes!B78</f>
        <v>2.1829999999999999E-2</v>
      </c>
      <c r="C79" s="12">
        <f t="shared" si="8"/>
        <v>0.97816999999999998</v>
      </c>
      <c r="D79" s="13">
        <f>Données_Brutes!C78</f>
        <v>76677</v>
      </c>
      <c r="E79" s="13">
        <f t="shared" si="9"/>
        <v>1673.8589099999999</v>
      </c>
      <c r="F79" s="13">
        <f t="shared" si="10"/>
        <v>75840</v>
      </c>
      <c r="G79" s="13">
        <f>SUM(F79:F$107)</f>
        <v>1023565.5</v>
      </c>
      <c r="H79" s="14">
        <f t="shared" si="11"/>
        <v>13.349055127352401</v>
      </c>
    </row>
    <row r="80" spans="1:8" x14ac:dyDescent="0.25">
      <c r="A80" s="11">
        <f>Données_Brutes!A79</f>
        <v>77</v>
      </c>
      <c r="B80" s="12">
        <f>Données_Brutes!B79</f>
        <v>2.3980000000000001E-2</v>
      </c>
      <c r="C80" s="12">
        <f t="shared" si="8"/>
        <v>0.97602</v>
      </c>
      <c r="D80" s="13">
        <f>Données_Brutes!C79</f>
        <v>75003</v>
      </c>
      <c r="E80" s="13">
        <f t="shared" si="9"/>
        <v>1798.57194</v>
      </c>
      <c r="F80" s="13">
        <f t="shared" si="10"/>
        <v>74103.5</v>
      </c>
      <c r="G80" s="13">
        <f>SUM(F80:F$107)</f>
        <v>947725.5</v>
      </c>
      <c r="H80" s="14">
        <f t="shared" si="11"/>
        <v>12.635834566617335</v>
      </c>
    </row>
    <row r="81" spans="1:8" x14ac:dyDescent="0.25">
      <c r="A81" s="11">
        <f>Données_Brutes!A80</f>
        <v>78</v>
      </c>
      <c r="B81" s="12">
        <f>Données_Brutes!B80</f>
        <v>2.666E-2</v>
      </c>
      <c r="C81" s="12">
        <f t="shared" si="8"/>
        <v>0.97333999999999998</v>
      </c>
      <c r="D81" s="13">
        <f>Données_Brutes!C80</f>
        <v>73204</v>
      </c>
      <c r="E81" s="13">
        <f t="shared" si="9"/>
        <v>1951.6186399999999</v>
      </c>
      <c r="F81" s="13">
        <f t="shared" si="10"/>
        <v>72228</v>
      </c>
      <c r="G81" s="13">
        <f>SUM(F81:F$107)</f>
        <v>873622</v>
      </c>
      <c r="H81" s="14">
        <f t="shared" si="11"/>
        <v>11.934074640730016</v>
      </c>
    </row>
    <row r="82" spans="1:8" x14ac:dyDescent="0.25">
      <c r="A82" s="11">
        <f>Données_Brutes!A81</f>
        <v>79</v>
      </c>
      <c r="B82" s="12">
        <f>Données_Brutes!B81</f>
        <v>2.9489999999999999E-2</v>
      </c>
      <c r="C82" s="12">
        <f t="shared" si="8"/>
        <v>0.97050999999999998</v>
      </c>
      <c r="D82" s="13">
        <f>Données_Brutes!C81</f>
        <v>71252</v>
      </c>
      <c r="E82" s="13">
        <f t="shared" si="9"/>
        <v>2101.2214799999997</v>
      </c>
      <c r="F82" s="13">
        <f t="shared" si="10"/>
        <v>70201.5</v>
      </c>
      <c r="G82" s="13">
        <f>SUM(F82:F$107)</f>
        <v>801394</v>
      </c>
      <c r="H82" s="14">
        <f t="shared" si="11"/>
        <v>11.247319373491271</v>
      </c>
    </row>
    <row r="83" spans="1:8" x14ac:dyDescent="0.25">
      <c r="A83" s="11">
        <f>Données_Brutes!A82</f>
        <v>80</v>
      </c>
      <c r="B83" s="12">
        <f>Données_Brutes!B82</f>
        <v>3.2689999999999997E-2</v>
      </c>
      <c r="C83" s="12">
        <f t="shared" si="8"/>
        <v>0.96731</v>
      </c>
      <c r="D83" s="13">
        <f>Données_Brutes!C82</f>
        <v>69151</v>
      </c>
      <c r="E83" s="13">
        <f t="shared" si="9"/>
        <v>2260.5461899999996</v>
      </c>
      <c r="F83" s="13">
        <f t="shared" si="10"/>
        <v>68020.5</v>
      </c>
      <c r="G83" s="13">
        <f>SUM(F83:F$107)</f>
        <v>731192.5</v>
      </c>
      <c r="H83" s="14">
        <f t="shared" si="11"/>
        <v>10.573852872698877</v>
      </c>
    </row>
    <row r="84" spans="1:8" x14ac:dyDescent="0.25">
      <c r="A84" s="11">
        <f>Données_Brutes!A83</f>
        <v>81</v>
      </c>
      <c r="B84" s="12">
        <f>Données_Brutes!B83</f>
        <v>3.6600000000000001E-2</v>
      </c>
      <c r="C84" s="12">
        <f t="shared" si="8"/>
        <v>0.96340000000000003</v>
      </c>
      <c r="D84" s="13">
        <f>Données_Brutes!C83</f>
        <v>66890</v>
      </c>
      <c r="E84" s="13">
        <f t="shared" si="9"/>
        <v>2448.174</v>
      </c>
      <c r="F84" s="13">
        <f t="shared" si="10"/>
        <v>65666</v>
      </c>
      <c r="G84" s="13">
        <f>SUM(F84:F$107)</f>
        <v>663172</v>
      </c>
      <c r="H84" s="14">
        <f t="shared" si="11"/>
        <v>9.9143668709822101</v>
      </c>
    </row>
    <row r="85" spans="1:8" x14ac:dyDescent="0.25">
      <c r="A85" s="11">
        <f>Données_Brutes!A84</f>
        <v>82</v>
      </c>
      <c r="B85" s="12">
        <f>Données_Brutes!B84</f>
        <v>4.1300000000000003E-2</v>
      </c>
      <c r="C85" s="12">
        <f t="shared" si="8"/>
        <v>0.9587</v>
      </c>
      <c r="D85" s="13">
        <f>Données_Brutes!C84</f>
        <v>64442</v>
      </c>
      <c r="E85" s="13">
        <f t="shared" si="9"/>
        <v>2661.4546</v>
      </c>
      <c r="F85" s="13">
        <f t="shared" si="10"/>
        <v>63111</v>
      </c>
      <c r="G85" s="13">
        <f>SUM(F85:F$107)</f>
        <v>597506</v>
      </c>
      <c r="H85" s="14">
        <f t="shared" si="11"/>
        <v>9.2719965240060827</v>
      </c>
    </row>
    <row r="86" spans="1:8" x14ac:dyDescent="0.25">
      <c r="A86" s="11">
        <f>Données_Brutes!A85</f>
        <v>83</v>
      </c>
      <c r="B86" s="12">
        <f>Données_Brutes!B85</f>
        <v>4.6629999999999998E-2</v>
      </c>
      <c r="C86" s="12">
        <f t="shared" si="8"/>
        <v>0.95337000000000005</v>
      </c>
      <c r="D86" s="13">
        <f>Données_Brutes!C85</f>
        <v>61780</v>
      </c>
      <c r="E86" s="13">
        <f t="shared" si="9"/>
        <v>2880.8013999999998</v>
      </c>
      <c r="F86" s="13">
        <f t="shared" si="10"/>
        <v>60340</v>
      </c>
      <c r="G86" s="13">
        <f>SUM(F86:F$107)</f>
        <v>534395</v>
      </c>
      <c r="H86" s="14">
        <f t="shared" si="11"/>
        <v>8.6499676270637753</v>
      </c>
    </row>
    <row r="87" spans="1:8" x14ac:dyDescent="0.25">
      <c r="A87" s="11">
        <f>Données_Brutes!A86</f>
        <v>84</v>
      </c>
      <c r="B87" s="12">
        <f>Données_Brutes!B86</f>
        <v>5.3769999999999998E-2</v>
      </c>
      <c r="C87" s="12">
        <f t="shared" si="8"/>
        <v>0.94623000000000002</v>
      </c>
      <c r="D87" s="13">
        <f>Données_Brutes!C86</f>
        <v>58900</v>
      </c>
      <c r="E87" s="13">
        <f t="shared" si="9"/>
        <v>3167.0529999999999</v>
      </c>
      <c r="F87" s="13">
        <f t="shared" si="10"/>
        <v>57316.5</v>
      </c>
      <c r="G87" s="13">
        <f>SUM(F87:F$107)</f>
        <v>474055</v>
      </c>
      <c r="H87" s="14">
        <f t="shared" si="11"/>
        <v>8.0484719864176579</v>
      </c>
    </row>
    <row r="88" spans="1:8" x14ac:dyDescent="0.25">
      <c r="A88" s="11">
        <f>Données_Brutes!A87</f>
        <v>85</v>
      </c>
      <c r="B88" s="12">
        <f>Données_Brutes!B87</f>
        <v>6.1030000000000001E-2</v>
      </c>
      <c r="C88" s="12">
        <f t="shared" si="8"/>
        <v>0.93896999999999997</v>
      </c>
      <c r="D88" s="13">
        <f>Données_Brutes!C87</f>
        <v>55733</v>
      </c>
      <c r="E88" s="13">
        <f t="shared" si="9"/>
        <v>3401.38499</v>
      </c>
      <c r="F88" s="13">
        <f t="shared" si="10"/>
        <v>54032</v>
      </c>
      <c r="G88" s="13">
        <f>SUM(F88:F$107)</f>
        <v>416738.5</v>
      </c>
      <c r="H88" s="14">
        <f t="shared" si="11"/>
        <v>7.4774101519745928</v>
      </c>
    </row>
    <row r="89" spans="1:8" x14ac:dyDescent="0.25">
      <c r="A89" s="11">
        <f>Données_Brutes!A88</f>
        <v>86</v>
      </c>
      <c r="B89" s="12">
        <f>Données_Brutes!B88</f>
        <v>6.9159999999999999E-2</v>
      </c>
      <c r="C89" s="12">
        <f t="shared" si="8"/>
        <v>0.93084</v>
      </c>
      <c r="D89" s="13">
        <f>Données_Brutes!C88</f>
        <v>52331</v>
      </c>
      <c r="E89" s="13">
        <f t="shared" si="9"/>
        <v>3619.2119600000001</v>
      </c>
      <c r="F89" s="13">
        <f t="shared" si="10"/>
        <v>50521.5</v>
      </c>
      <c r="G89" s="13">
        <f>SUM(F89:F$107)</f>
        <v>362706.5</v>
      </c>
      <c r="H89" s="14">
        <f t="shared" si="11"/>
        <v>6.931006477995834</v>
      </c>
    </row>
    <row r="90" spans="1:8" x14ac:dyDescent="0.25">
      <c r="A90" s="11">
        <f>Données_Brutes!A89</f>
        <v>87</v>
      </c>
      <c r="B90" s="12">
        <f>Données_Brutes!B89</f>
        <v>7.8390000000000001E-2</v>
      </c>
      <c r="C90" s="12">
        <f t="shared" si="8"/>
        <v>0.92161000000000004</v>
      </c>
      <c r="D90" s="13">
        <f>Données_Brutes!C89</f>
        <v>48712</v>
      </c>
      <c r="E90" s="13">
        <f t="shared" si="9"/>
        <v>3818.53368</v>
      </c>
      <c r="F90" s="13">
        <f t="shared" si="10"/>
        <v>46803</v>
      </c>
      <c r="G90" s="13">
        <f>SUM(F90:F$107)</f>
        <v>312185</v>
      </c>
      <c r="H90" s="14">
        <f t="shared" si="11"/>
        <v>6.4087904417802593</v>
      </c>
    </row>
    <row r="91" spans="1:8" x14ac:dyDescent="0.25">
      <c r="A91" s="11">
        <f>Données_Brutes!A90</f>
        <v>88</v>
      </c>
      <c r="B91" s="12">
        <f>Données_Brutes!B90</f>
        <v>8.8789999999999994E-2</v>
      </c>
      <c r="C91" s="12">
        <f t="shared" si="8"/>
        <v>0.91120999999999996</v>
      </c>
      <c r="D91" s="13">
        <f>Données_Brutes!C90</f>
        <v>44894</v>
      </c>
      <c r="E91" s="13">
        <f t="shared" si="9"/>
        <v>3986.1382599999997</v>
      </c>
      <c r="F91" s="13">
        <f t="shared" si="10"/>
        <v>42901</v>
      </c>
      <c r="G91" s="13">
        <f>SUM(F91:F$107)</f>
        <v>265382</v>
      </c>
      <c r="H91" s="14">
        <f t="shared" si="11"/>
        <v>5.9113021784648279</v>
      </c>
    </row>
    <row r="92" spans="1:8" x14ac:dyDescent="0.25">
      <c r="A92" s="11">
        <f>Données_Brutes!A91</f>
        <v>89</v>
      </c>
      <c r="B92" s="12">
        <f>Données_Brutes!B91</f>
        <v>0.10156999999999999</v>
      </c>
      <c r="C92" s="12">
        <f t="shared" si="8"/>
        <v>0.89843000000000006</v>
      </c>
      <c r="D92" s="13">
        <f>Données_Brutes!C91</f>
        <v>40908</v>
      </c>
      <c r="E92" s="13">
        <f t="shared" si="9"/>
        <v>4155.02556</v>
      </c>
      <c r="F92" s="13">
        <f t="shared" si="10"/>
        <v>38830.5</v>
      </c>
      <c r="G92" s="13">
        <f>SUM(F92:F$107)</f>
        <v>222481</v>
      </c>
      <c r="H92" s="14">
        <f t="shared" si="11"/>
        <v>5.4385694729637235</v>
      </c>
    </row>
    <row r="93" spans="1:8" x14ac:dyDescent="0.25">
      <c r="A93" s="11">
        <f>Données_Brutes!A92</f>
        <v>90</v>
      </c>
      <c r="B93" s="12">
        <f>Données_Brutes!B92</f>
        <v>0.11584</v>
      </c>
      <c r="C93" s="12">
        <f t="shared" si="8"/>
        <v>0.88416000000000006</v>
      </c>
      <c r="D93" s="13">
        <f>Données_Brutes!C92</f>
        <v>36753</v>
      </c>
      <c r="E93" s="13">
        <f t="shared" si="9"/>
        <v>4257.4675200000001</v>
      </c>
      <c r="F93" s="13">
        <f t="shared" si="10"/>
        <v>34624</v>
      </c>
      <c r="G93" s="13">
        <f>SUM(F93:F$107)</f>
        <v>183650.5</v>
      </c>
      <c r="H93" s="14">
        <f t="shared" si="11"/>
        <v>4.9968846080592062</v>
      </c>
    </row>
    <row r="94" spans="1:8" x14ac:dyDescent="0.25">
      <c r="A94" s="11">
        <f>Données_Brutes!A93</f>
        <v>91</v>
      </c>
      <c r="B94" s="12">
        <f>Données_Brutes!B93</f>
        <v>0.13133</v>
      </c>
      <c r="C94" s="12">
        <f t="shared" si="8"/>
        <v>0.86867000000000005</v>
      </c>
      <c r="D94" s="13">
        <f>Données_Brutes!C93</f>
        <v>32495</v>
      </c>
      <c r="E94" s="13">
        <f t="shared" si="9"/>
        <v>4267.5683500000005</v>
      </c>
      <c r="F94" s="13">
        <f t="shared" si="10"/>
        <v>30361.5</v>
      </c>
      <c r="G94" s="13">
        <f>SUM(F94:F$107)</f>
        <v>149026.5</v>
      </c>
      <c r="H94" s="14">
        <f t="shared" si="11"/>
        <v>4.5861363286659484</v>
      </c>
    </row>
    <row r="95" spans="1:8" x14ac:dyDescent="0.25">
      <c r="A95" s="11">
        <f>Données_Brutes!A94</f>
        <v>92</v>
      </c>
      <c r="B95" s="12">
        <f>Données_Brutes!B94</f>
        <v>0.14845</v>
      </c>
      <c r="C95" s="12">
        <f t="shared" si="8"/>
        <v>0.85155000000000003</v>
      </c>
      <c r="D95" s="13">
        <f>Données_Brutes!C94</f>
        <v>28228</v>
      </c>
      <c r="E95" s="13">
        <f t="shared" si="9"/>
        <v>4190.4466000000002</v>
      </c>
      <c r="F95" s="13">
        <f t="shared" si="10"/>
        <v>26132.5</v>
      </c>
      <c r="G95" s="13">
        <f>SUM(F95:F$107)</f>
        <v>118665</v>
      </c>
      <c r="H95" s="14">
        <f t="shared" si="11"/>
        <v>4.2038047328893295</v>
      </c>
    </row>
    <row r="96" spans="1:8" x14ac:dyDescent="0.25">
      <c r="A96" s="11">
        <f>Données_Brutes!A95</f>
        <v>93</v>
      </c>
      <c r="B96" s="12">
        <f>Données_Brutes!B95</f>
        <v>0.16718</v>
      </c>
      <c r="C96" s="12">
        <f t="shared" si="8"/>
        <v>0.83282</v>
      </c>
      <c r="D96" s="13">
        <f>Données_Brutes!C95</f>
        <v>24037</v>
      </c>
      <c r="E96" s="13">
        <f t="shared" si="9"/>
        <v>4018.5056599999998</v>
      </c>
      <c r="F96" s="13">
        <f t="shared" si="10"/>
        <v>22028</v>
      </c>
      <c r="G96" s="13">
        <f>SUM(F96:F$107)</f>
        <v>92532.5</v>
      </c>
      <c r="H96" s="14">
        <f t="shared" si="11"/>
        <v>3.8495860548321339</v>
      </c>
    </row>
    <row r="97" spans="1:8" x14ac:dyDescent="0.25">
      <c r="A97" s="11">
        <f>Données_Brutes!A96</f>
        <v>94</v>
      </c>
      <c r="B97" s="12">
        <f>Données_Brutes!B96</f>
        <v>0.18906000000000001</v>
      </c>
      <c r="C97" s="12">
        <f t="shared" si="8"/>
        <v>0.81093999999999999</v>
      </c>
      <c r="D97" s="13">
        <f>Données_Brutes!C96</f>
        <v>20019</v>
      </c>
      <c r="E97" s="13">
        <f t="shared" si="9"/>
        <v>3784.79214</v>
      </c>
      <c r="F97" s="13">
        <f t="shared" si="10"/>
        <v>18126.5</v>
      </c>
      <c r="G97" s="13">
        <f>SUM(F97:F$107)</f>
        <v>70504.5</v>
      </c>
      <c r="H97" s="14">
        <f t="shared" si="11"/>
        <v>3.5218792147459914</v>
      </c>
    </row>
    <row r="98" spans="1:8" x14ac:dyDescent="0.25">
      <c r="A98" s="11">
        <f>Données_Brutes!A97</f>
        <v>95</v>
      </c>
      <c r="B98" s="12">
        <f>Données_Brutes!B97</f>
        <v>0.21215000000000001</v>
      </c>
      <c r="C98" s="12">
        <f t="shared" si="8"/>
        <v>0.78784999999999994</v>
      </c>
      <c r="D98" s="13">
        <f>Données_Brutes!C97</f>
        <v>16234</v>
      </c>
      <c r="E98" s="13">
        <f t="shared" si="9"/>
        <v>3444.0430999999999</v>
      </c>
      <c r="F98" s="13">
        <f t="shared" si="10"/>
        <v>14512</v>
      </c>
      <c r="G98" s="13">
        <f>SUM(F98:F$107)</f>
        <v>52378</v>
      </c>
      <c r="H98" s="14">
        <f t="shared" si="11"/>
        <v>3.2264383392879141</v>
      </c>
    </row>
    <row r="99" spans="1:8" x14ac:dyDescent="0.25">
      <c r="A99" s="11">
        <f>Données_Brutes!A98</f>
        <v>96</v>
      </c>
      <c r="B99" s="12">
        <f>Données_Brutes!B98</f>
        <v>0.23519000000000001</v>
      </c>
      <c r="C99" s="12">
        <f t="shared" ref="C99:C107" si="12">1-B99</f>
        <v>0.76480999999999999</v>
      </c>
      <c r="D99" s="13">
        <f>Données_Brutes!C98</f>
        <v>12790</v>
      </c>
      <c r="E99" s="13">
        <f t="shared" ref="E99:E107" si="13">D99*B99</f>
        <v>3008.0801000000001</v>
      </c>
      <c r="F99" s="13">
        <f t="shared" ref="F99:F106" si="14">(D99+D100)/2</f>
        <v>11286</v>
      </c>
      <c r="G99" s="13">
        <f>SUM(F99:F$107)</f>
        <v>37866</v>
      </c>
      <c r="H99" s="14">
        <f t="shared" ref="H99:H107" si="15">IF(D99&gt;0,G99/D99,0)</f>
        <v>2.9605942142298671</v>
      </c>
    </row>
    <row r="100" spans="1:8" x14ac:dyDescent="0.25">
      <c r="A100" s="11">
        <f>Données_Brutes!A99</f>
        <v>97</v>
      </c>
      <c r="B100" s="12">
        <f>Données_Brutes!B99</f>
        <v>0.25844</v>
      </c>
      <c r="C100" s="12">
        <f t="shared" si="12"/>
        <v>0.74156</v>
      </c>
      <c r="D100" s="13">
        <f>Données_Brutes!C99</f>
        <v>9782</v>
      </c>
      <c r="E100" s="13">
        <f t="shared" si="13"/>
        <v>2528.0600800000002</v>
      </c>
      <c r="F100" s="13">
        <f t="shared" si="14"/>
        <v>8518</v>
      </c>
      <c r="G100" s="13">
        <f>SUM(F100:F$107)</f>
        <v>26580</v>
      </c>
      <c r="H100" s="14">
        <f t="shared" si="15"/>
        <v>2.717235739112656</v>
      </c>
    </row>
    <row r="101" spans="1:8" x14ac:dyDescent="0.25">
      <c r="A101" s="11">
        <f>Données_Brutes!A100</f>
        <v>98</v>
      </c>
      <c r="B101" s="12">
        <f>Données_Brutes!B100</f>
        <v>0.28369</v>
      </c>
      <c r="C101" s="12">
        <f t="shared" si="12"/>
        <v>0.71631</v>
      </c>
      <c r="D101" s="13">
        <f>Données_Brutes!C100</f>
        <v>7254</v>
      </c>
      <c r="E101" s="13">
        <f t="shared" si="13"/>
        <v>2057.88726</v>
      </c>
      <c r="F101" s="13">
        <f t="shared" si="14"/>
        <v>6225</v>
      </c>
      <c r="G101" s="13">
        <f>SUM(F101:F$107)</f>
        <v>18062</v>
      </c>
      <c r="H101" s="14">
        <f t="shared" si="15"/>
        <v>2.4899365867107801</v>
      </c>
    </row>
    <row r="102" spans="1:8" x14ac:dyDescent="0.25">
      <c r="A102" s="11">
        <f>Données_Brutes!A101</f>
        <v>99</v>
      </c>
      <c r="B102" s="12">
        <f>Données_Brutes!B101</f>
        <v>0.3039</v>
      </c>
      <c r="C102" s="12">
        <f t="shared" si="12"/>
        <v>0.69609999999999994</v>
      </c>
      <c r="D102" s="13">
        <f>Données_Brutes!C101</f>
        <v>5196</v>
      </c>
      <c r="E102" s="13">
        <f t="shared" si="13"/>
        <v>1579.0644</v>
      </c>
      <c r="F102" s="13">
        <f t="shared" si="14"/>
        <v>4406.5</v>
      </c>
      <c r="G102" s="13">
        <f>SUM(F102:F$107)</f>
        <v>11837</v>
      </c>
      <c r="H102" s="14">
        <f t="shared" si="15"/>
        <v>2.2780985373364127</v>
      </c>
    </row>
    <row r="103" spans="1:8" x14ac:dyDescent="0.25">
      <c r="A103" s="11">
        <f>Données_Brutes!A102</f>
        <v>100</v>
      </c>
      <c r="B103" s="12">
        <f>Données_Brutes!B102</f>
        <v>0.33169999999999999</v>
      </c>
      <c r="C103" s="12">
        <f t="shared" si="12"/>
        <v>0.66830000000000001</v>
      </c>
      <c r="D103" s="13">
        <f>Données_Brutes!C102</f>
        <v>3617</v>
      </c>
      <c r="E103" s="13">
        <f t="shared" si="13"/>
        <v>1199.7589</v>
      </c>
      <c r="F103" s="13">
        <f t="shared" si="14"/>
        <v>3017</v>
      </c>
      <c r="G103" s="13">
        <f>SUM(F103:F$107)</f>
        <v>7430.5</v>
      </c>
      <c r="H103" s="14">
        <f t="shared" si="15"/>
        <v>2.0543267901575892</v>
      </c>
    </row>
    <row r="104" spans="1:8" x14ac:dyDescent="0.25">
      <c r="A104" s="11">
        <f>Données_Brutes!A103</f>
        <v>101</v>
      </c>
      <c r="B104" s="12">
        <f>Données_Brutes!B103</f>
        <v>0.34725</v>
      </c>
      <c r="C104" s="12">
        <f t="shared" si="12"/>
        <v>0.65274999999999994</v>
      </c>
      <c r="D104" s="13">
        <f>Données_Brutes!C103</f>
        <v>2417</v>
      </c>
      <c r="E104" s="13">
        <f t="shared" si="13"/>
        <v>839.30325000000005</v>
      </c>
      <c r="F104" s="13">
        <f t="shared" si="14"/>
        <v>1997.5</v>
      </c>
      <c r="G104" s="13">
        <f>SUM(F104:F$107)</f>
        <v>4413.5</v>
      </c>
      <c r="H104" s="14">
        <f t="shared" si="15"/>
        <v>1.8260239966901117</v>
      </c>
    </row>
    <row r="105" spans="1:8" x14ac:dyDescent="0.25">
      <c r="A105" s="11">
        <f>Données_Brutes!A104</f>
        <v>102</v>
      </c>
      <c r="B105" s="12">
        <f>Données_Brutes!B104</f>
        <v>0.36170999999999998</v>
      </c>
      <c r="C105" s="12">
        <f t="shared" si="12"/>
        <v>0.63829000000000002</v>
      </c>
      <c r="D105" s="13">
        <f>Données_Brutes!C104</f>
        <v>1578</v>
      </c>
      <c r="E105" s="13">
        <f t="shared" si="13"/>
        <v>570.77837999999997</v>
      </c>
      <c r="F105" s="13">
        <f t="shared" si="14"/>
        <v>1292.5</v>
      </c>
      <c r="G105" s="13">
        <f>SUM(F105:F$107)</f>
        <v>2416</v>
      </c>
      <c r="H105" s="14">
        <f t="shared" si="15"/>
        <v>1.5310519645120406</v>
      </c>
    </row>
    <row r="106" spans="1:8" x14ac:dyDescent="0.25">
      <c r="A106" s="11">
        <f>Données_Brutes!A105</f>
        <v>103</v>
      </c>
      <c r="B106" s="12">
        <f>Données_Brutes!B105</f>
        <v>0.38453999999999999</v>
      </c>
      <c r="C106" s="12">
        <f t="shared" si="12"/>
        <v>0.61546000000000001</v>
      </c>
      <c r="D106" s="13">
        <f>Données_Brutes!C105</f>
        <v>1007</v>
      </c>
      <c r="E106" s="13">
        <f t="shared" si="13"/>
        <v>387.23178000000001</v>
      </c>
      <c r="F106" s="13">
        <f t="shared" si="14"/>
        <v>813.5</v>
      </c>
      <c r="G106" s="13">
        <f>SUM(F106:F$107)</f>
        <v>1123.5</v>
      </c>
      <c r="H106" s="14">
        <f t="shared" si="15"/>
        <v>1.1156901688182721</v>
      </c>
    </row>
    <row r="107" spans="1:8" x14ac:dyDescent="0.25">
      <c r="A107" s="11">
        <f>Données_Brutes!A106</f>
        <v>104</v>
      </c>
      <c r="B107" s="12">
        <f>Données_Brutes!B106</f>
        <v>0.37592999999999999</v>
      </c>
      <c r="C107" s="12">
        <f t="shared" si="12"/>
        <v>0.62407000000000001</v>
      </c>
      <c r="D107" s="13">
        <f>Données_Brutes!C106</f>
        <v>620</v>
      </c>
      <c r="E107" s="13">
        <f t="shared" si="13"/>
        <v>233.07659999999998</v>
      </c>
      <c r="F107" s="13">
        <f>D107*0.5</f>
        <v>310</v>
      </c>
      <c r="G107" s="13">
        <f>SUM(F107:F$107)</f>
        <v>310</v>
      </c>
      <c r="H107" s="14">
        <f t="shared" si="15"/>
        <v>0.5</v>
      </c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er_Table_Mortalite.Creer_Table_Mortalite" altText="1. Créer la structure">
                <anchor moveWithCells="1">
                  <from>
                    <xdr:col>14</xdr:col>
                    <xdr:colOff>238125</xdr:colOff>
                    <xdr:row>3</xdr:row>
                    <xdr:rowOff>180975</xdr:rowOff>
                  </from>
                  <to>
                    <xdr:col>16</xdr:col>
                    <xdr:colOff>209550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mplir_Formules_Table_M.Remplir_Formules_Table_M">
                <anchor moveWithCells="1">
                  <from>
                    <xdr:col>14</xdr:col>
                    <xdr:colOff>238125</xdr:colOff>
                    <xdr:row>6</xdr:row>
                    <xdr:rowOff>171450</xdr:rowOff>
                  </from>
                  <to>
                    <xdr:col>16</xdr:col>
                    <xdr:colOff>247650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6" r:id="rId5" name="Button 2506">
              <controlPr defaultSize="0" print="0" autoFill="0" autoPict="0" macro="[0]!Creer_Graphiques_Mortalite.Creer_Graphiques_Mortalite">
                <anchor moveWithCells="1">
                  <from>
                    <xdr:col>14</xdr:col>
                    <xdr:colOff>209550</xdr:colOff>
                    <xdr:row>10</xdr:row>
                    <xdr:rowOff>171450</xdr:rowOff>
                  </from>
                  <to>
                    <xdr:col>16</xdr:col>
                    <xdr:colOff>228600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BD96-A907-45C0-98F0-3511B413853E}">
  <sheetPr codeName="Feuil3">
    <tabColor rgb="FFFFC000"/>
  </sheetPr>
  <dimension ref="A1:O66"/>
  <sheetViews>
    <sheetView topLeftCell="D1" workbookViewId="0">
      <selection activeCell="E21" sqref="E21"/>
    </sheetView>
  </sheetViews>
  <sheetFormatPr baseColWidth="10" defaultRowHeight="15" x14ac:dyDescent="0.25"/>
  <cols>
    <col min="1" max="1" width="28.7109375" customWidth="1"/>
    <col min="2" max="2" width="18.140625" customWidth="1"/>
    <col min="3" max="3" width="8.7109375" customWidth="1"/>
    <col min="4" max="4" width="11.28515625" customWidth="1"/>
    <col min="6" max="9" width="18.7109375" customWidth="1"/>
    <col min="11" max="15" width="15.7109375" customWidth="1"/>
    <col min="17" max="22" width="0" hidden="1" customWidth="1"/>
  </cols>
  <sheetData>
    <row r="1" spans="1:15" ht="35.1" customHeight="1" x14ac:dyDescent="0.25">
      <c r="A1" s="73" t="s">
        <v>22</v>
      </c>
      <c r="B1" s="73"/>
      <c r="C1" s="73"/>
      <c r="D1" s="73"/>
    </row>
    <row r="3" spans="1:15" ht="15.75" x14ac:dyDescent="0.25">
      <c r="A3" s="74" t="s">
        <v>23</v>
      </c>
      <c r="B3" s="74"/>
      <c r="C3" s="74"/>
      <c r="D3" s="74"/>
      <c r="F3" s="74" t="s">
        <v>35</v>
      </c>
      <c r="G3" s="74"/>
      <c r="H3" s="74"/>
      <c r="I3" s="74"/>
      <c r="K3" s="75" t="s">
        <v>39</v>
      </c>
      <c r="L3" s="75"/>
      <c r="M3" s="75"/>
      <c r="N3" s="75"/>
      <c r="O3" s="75"/>
    </row>
    <row r="5" spans="1:15" x14ac:dyDescent="0.25">
      <c r="A5" s="19" t="s">
        <v>24</v>
      </c>
      <c r="B5" s="16">
        <v>30</v>
      </c>
      <c r="C5" s="11" t="s">
        <v>28</v>
      </c>
      <c r="F5" s="21" t="s">
        <v>13</v>
      </c>
      <c r="G5" s="21" t="s">
        <v>36</v>
      </c>
      <c r="H5" s="21" t="s">
        <v>37</v>
      </c>
      <c r="I5" s="21" t="s">
        <v>38</v>
      </c>
      <c r="K5" s="76"/>
      <c r="L5" s="77"/>
      <c r="M5" s="77"/>
      <c r="N5" s="77"/>
      <c r="O5" s="77"/>
    </row>
    <row r="6" spans="1:15" x14ac:dyDescent="0.25">
      <c r="A6" s="19" t="s">
        <v>25</v>
      </c>
      <c r="B6" s="17">
        <v>100000</v>
      </c>
      <c r="C6" s="11" t="s">
        <v>29</v>
      </c>
      <c r="F6" s="24">
        <v>20</v>
      </c>
      <c r="G6" s="25">
        <v>81.67439594599216</v>
      </c>
      <c r="H6" s="25">
        <v>102.0929949324902</v>
      </c>
      <c r="I6" s="25">
        <v>3062.7898479747059</v>
      </c>
      <c r="K6" s="77"/>
      <c r="L6" s="77"/>
      <c r="M6" s="77"/>
      <c r="N6" s="77"/>
      <c r="O6" s="77"/>
    </row>
    <row r="7" spans="1:15" x14ac:dyDescent="0.25">
      <c r="A7" s="19" t="s">
        <v>26</v>
      </c>
      <c r="B7" s="18">
        <v>0.02</v>
      </c>
      <c r="C7" s="11" t="s">
        <v>30</v>
      </c>
      <c r="F7" s="22">
        <v>21</v>
      </c>
      <c r="G7" s="23">
        <v>87.837313253242499</v>
      </c>
      <c r="H7" s="23">
        <v>109.79664156655312</v>
      </c>
      <c r="I7" s="23">
        <v>3293.8992469965938</v>
      </c>
      <c r="K7" s="77"/>
      <c r="L7" s="77"/>
      <c r="M7" s="77"/>
      <c r="N7" s="77"/>
      <c r="O7" s="77"/>
    </row>
    <row r="8" spans="1:15" x14ac:dyDescent="0.25">
      <c r="A8" s="19" t="s">
        <v>27</v>
      </c>
      <c r="B8" s="16">
        <v>30</v>
      </c>
      <c r="C8" s="11" t="s">
        <v>28</v>
      </c>
      <c r="F8" s="24">
        <v>22</v>
      </c>
      <c r="G8" s="25">
        <v>94.55978050049913</v>
      </c>
      <c r="H8" s="25">
        <v>118.19972562562391</v>
      </c>
      <c r="I8" s="25">
        <v>3545.9917687687175</v>
      </c>
      <c r="K8" s="77"/>
      <c r="L8" s="77"/>
      <c r="M8" s="77"/>
      <c r="N8" s="77"/>
      <c r="O8" s="77"/>
    </row>
    <row r="9" spans="1:15" x14ac:dyDescent="0.25">
      <c r="F9" s="22">
        <v>23</v>
      </c>
      <c r="G9" s="23">
        <v>102.15597997807984</v>
      </c>
      <c r="H9" s="23">
        <v>127.69497497259979</v>
      </c>
      <c r="I9" s="23">
        <v>3830.8492491779939</v>
      </c>
      <c r="K9" s="77"/>
      <c r="L9" s="77"/>
      <c r="M9" s="77"/>
      <c r="N9" s="77"/>
      <c r="O9" s="77"/>
    </row>
    <row r="10" spans="1:15" ht="15.75" x14ac:dyDescent="0.25">
      <c r="A10" s="75" t="s">
        <v>31</v>
      </c>
      <c r="B10" s="75"/>
      <c r="C10" s="75"/>
      <c r="D10" s="75"/>
      <c r="F10" s="24">
        <v>24</v>
      </c>
      <c r="G10" s="25">
        <v>110.59371948048732</v>
      </c>
      <c r="H10" s="25">
        <v>138.24214935060917</v>
      </c>
      <c r="I10" s="25">
        <v>4147.2644805182745</v>
      </c>
      <c r="K10" s="77"/>
      <c r="L10" s="77"/>
      <c r="M10" s="77"/>
      <c r="N10" s="77"/>
      <c r="O10" s="77"/>
    </row>
    <row r="11" spans="1:15" x14ac:dyDescent="0.25">
      <c r="F11" s="22">
        <v>25</v>
      </c>
      <c r="G11" s="23">
        <v>119.81968979090324</v>
      </c>
      <c r="H11" s="23">
        <v>149.77461223862906</v>
      </c>
      <c r="I11" s="23">
        <v>4493.2383671588714</v>
      </c>
    </row>
    <row r="12" spans="1:15" x14ac:dyDescent="0.25">
      <c r="A12" s="19" t="s">
        <v>32</v>
      </c>
      <c r="B12" s="20">
        <v>181.36813294434455</v>
      </c>
      <c r="C12" s="11" t="s">
        <v>29</v>
      </c>
      <c r="F12" s="24">
        <v>26</v>
      </c>
      <c r="G12" s="25">
        <v>130.03773765377144</v>
      </c>
      <c r="H12" s="25">
        <v>162.54717206721432</v>
      </c>
      <c r="I12" s="25">
        <v>4876.4151620164293</v>
      </c>
    </row>
    <row r="13" spans="1:15" x14ac:dyDescent="0.25">
      <c r="A13" s="19" t="s">
        <v>33</v>
      </c>
      <c r="B13" s="20">
        <v>226.71016618043069</v>
      </c>
      <c r="C13" s="11" t="s">
        <v>29</v>
      </c>
      <c r="F13" s="22">
        <v>27</v>
      </c>
      <c r="G13" s="23">
        <v>141.26506779564275</v>
      </c>
      <c r="H13" s="23">
        <v>176.58133474455343</v>
      </c>
      <c r="I13" s="23">
        <v>5297.4400423366033</v>
      </c>
    </row>
    <row r="14" spans="1:15" x14ac:dyDescent="0.25">
      <c r="A14" s="19" t="s">
        <v>34</v>
      </c>
      <c r="B14" s="20">
        <v>6801.3049854129204</v>
      </c>
      <c r="C14" s="11" t="s">
        <v>29</v>
      </c>
      <c r="F14" s="24">
        <v>28</v>
      </c>
      <c r="G14" s="25">
        <v>153.61589743166755</v>
      </c>
      <c r="H14" s="25">
        <v>192.01987178958444</v>
      </c>
      <c r="I14" s="25">
        <v>5760.5961536875329</v>
      </c>
    </row>
    <row r="15" spans="1:15" x14ac:dyDescent="0.25">
      <c r="F15" s="22">
        <v>29</v>
      </c>
      <c r="G15" s="23">
        <v>166.95091515708853</v>
      </c>
      <c r="H15" s="23">
        <v>208.68864394636066</v>
      </c>
      <c r="I15" s="23">
        <v>6260.6593183908199</v>
      </c>
    </row>
    <row r="16" spans="1:15" x14ac:dyDescent="0.25">
      <c r="F16" s="24">
        <v>30</v>
      </c>
      <c r="G16" s="25">
        <v>181.36813294434455</v>
      </c>
      <c r="H16" s="25">
        <v>226.71016618043069</v>
      </c>
      <c r="I16" s="25">
        <v>6801.3049854129204</v>
      </c>
    </row>
    <row r="17" spans="6:9" x14ac:dyDescent="0.25">
      <c r="F17" s="22">
        <v>31</v>
      </c>
      <c r="G17" s="23">
        <v>197.17537036292106</v>
      </c>
      <c r="H17" s="23">
        <v>246.46921295365132</v>
      </c>
      <c r="I17" s="23">
        <v>7394.0763886095392</v>
      </c>
    </row>
    <row r="18" spans="6:9" x14ac:dyDescent="0.25">
      <c r="F18" s="24">
        <v>32</v>
      </c>
      <c r="G18" s="25">
        <v>214.41943169301734</v>
      </c>
      <c r="H18" s="25">
        <v>268.02428961627169</v>
      </c>
      <c r="I18" s="25">
        <v>8040.7286884881505</v>
      </c>
    </row>
    <row r="19" spans="6:9" x14ac:dyDescent="0.25">
      <c r="F19" s="22">
        <v>33</v>
      </c>
      <c r="G19" s="23">
        <v>233.57966928363342</v>
      </c>
      <c r="H19" s="23">
        <v>291.9745866045418</v>
      </c>
      <c r="I19" s="23">
        <v>8759.2375981362529</v>
      </c>
    </row>
    <row r="20" spans="6:9" x14ac:dyDescent="0.25">
      <c r="F20" s="24">
        <v>34</v>
      </c>
      <c r="G20" s="25">
        <v>254.44072980854943</v>
      </c>
      <c r="H20" s="25">
        <v>318.0509122606868</v>
      </c>
      <c r="I20" s="25">
        <v>9541.5273678206031</v>
      </c>
    </row>
    <row r="21" spans="6:9" x14ac:dyDescent="0.25">
      <c r="F21" s="22">
        <v>35</v>
      </c>
      <c r="G21" s="23">
        <v>277.06977250430975</v>
      </c>
      <c r="H21" s="23">
        <v>346.33721563038716</v>
      </c>
      <c r="I21" s="23">
        <v>10390.116468911616</v>
      </c>
    </row>
    <row r="22" spans="6:9" x14ac:dyDescent="0.25">
      <c r="F22" s="24">
        <v>36</v>
      </c>
      <c r="G22" s="25">
        <v>301.47299788104505</v>
      </c>
      <c r="H22" s="25">
        <v>376.84124735130632</v>
      </c>
      <c r="I22" s="25">
        <v>11305.23742053919</v>
      </c>
    </row>
    <row r="23" spans="6:9" x14ac:dyDescent="0.25">
      <c r="F23" s="22">
        <v>37</v>
      </c>
      <c r="G23" s="23">
        <v>327.90284920189038</v>
      </c>
      <c r="H23" s="23">
        <v>409.87856150236297</v>
      </c>
      <c r="I23" s="23">
        <v>12296.35684507089</v>
      </c>
    </row>
    <row r="24" spans="6:9" x14ac:dyDescent="0.25">
      <c r="F24" s="24">
        <v>38</v>
      </c>
      <c r="G24" s="25">
        <v>356.0049624942647</v>
      </c>
      <c r="H24" s="25">
        <v>445.00620311783086</v>
      </c>
      <c r="I24" s="25">
        <v>13350.186093534927</v>
      </c>
    </row>
    <row r="25" spans="6:9" x14ac:dyDescent="0.25">
      <c r="F25" s="22">
        <v>39</v>
      </c>
      <c r="G25" s="23">
        <v>386.47918548923093</v>
      </c>
      <c r="H25" s="23">
        <v>483.09898186153868</v>
      </c>
      <c r="I25" s="23">
        <v>14492.96945584616</v>
      </c>
    </row>
    <row r="26" spans="6:9" x14ac:dyDescent="0.25">
      <c r="F26" s="24">
        <v>40</v>
      </c>
      <c r="G26" s="25">
        <v>419.04255938770171</v>
      </c>
      <c r="H26" s="25">
        <v>523.80319923462719</v>
      </c>
      <c r="I26" s="25">
        <v>15714.095977038814</v>
      </c>
    </row>
    <row r="27" spans="6:9" x14ac:dyDescent="0.25">
      <c r="F27" s="22">
        <v>41</v>
      </c>
      <c r="G27" s="23">
        <v>454.19246163762466</v>
      </c>
      <c r="H27" s="23">
        <v>567.7405770470308</v>
      </c>
      <c r="I27" s="23">
        <v>17032.217311410925</v>
      </c>
    </row>
    <row r="28" spans="6:9" x14ac:dyDescent="0.25">
      <c r="F28" s="24">
        <v>42</v>
      </c>
      <c r="G28" s="25">
        <v>491.71910248513478</v>
      </c>
      <c r="H28" s="25">
        <v>614.64887810641846</v>
      </c>
      <c r="I28" s="25">
        <v>18439.466343192555</v>
      </c>
    </row>
    <row r="29" spans="6:9" x14ac:dyDescent="0.25">
      <c r="F29" s="22">
        <v>43</v>
      </c>
      <c r="G29" s="23">
        <v>532.18162133752719</v>
      </c>
      <c r="H29" s="23">
        <v>665.22702667190902</v>
      </c>
      <c r="I29" s="23">
        <v>19956.810800157269</v>
      </c>
    </row>
    <row r="30" spans="6:9" x14ac:dyDescent="0.25">
      <c r="F30" s="24">
        <v>44</v>
      </c>
      <c r="G30" s="25">
        <v>575.66024981075327</v>
      </c>
      <c r="H30" s="25">
        <v>719.57531226344156</v>
      </c>
      <c r="I30" s="25">
        <v>21587.259367903247</v>
      </c>
    </row>
    <row r="31" spans="6:9" x14ac:dyDescent="0.25">
      <c r="F31" s="22">
        <v>45</v>
      </c>
      <c r="G31" s="23">
        <v>622.37939191361431</v>
      </c>
      <c r="H31" s="23">
        <v>777.97423989201786</v>
      </c>
      <c r="I31" s="23">
        <v>23339.227196760537</v>
      </c>
    </row>
    <row r="32" spans="6:9" x14ac:dyDescent="0.25">
      <c r="F32" s="24">
        <v>46</v>
      </c>
      <c r="G32" s="25">
        <v>672.30864653414631</v>
      </c>
      <c r="H32" s="25">
        <v>840.38580816768285</v>
      </c>
      <c r="I32" s="25">
        <v>25211.574245030486</v>
      </c>
    </row>
    <row r="33" spans="6:9" x14ac:dyDescent="0.25">
      <c r="F33" s="22">
        <v>47</v>
      </c>
      <c r="G33" s="23">
        <v>727.06556003716764</v>
      </c>
      <c r="H33" s="23">
        <v>908.8319500464595</v>
      </c>
      <c r="I33" s="23">
        <v>27264.958501393787</v>
      </c>
    </row>
    <row r="34" spans="6:9" x14ac:dyDescent="0.25">
      <c r="F34" s="24">
        <v>48</v>
      </c>
      <c r="G34" s="25">
        <v>786.69756260575366</v>
      </c>
      <c r="H34" s="25">
        <v>983.3719532571921</v>
      </c>
      <c r="I34" s="25">
        <v>29501.158597715763</v>
      </c>
    </row>
    <row r="35" spans="6:9" x14ac:dyDescent="0.25">
      <c r="F35" s="22">
        <v>49</v>
      </c>
      <c r="G35" s="23">
        <v>852.00004538370854</v>
      </c>
      <c r="H35" s="23">
        <v>1065.0000567296356</v>
      </c>
      <c r="I35" s="23">
        <v>31950.001701889068</v>
      </c>
    </row>
    <row r="36" spans="6:9" x14ac:dyDescent="0.25">
      <c r="F36" s="24">
        <v>50</v>
      </c>
      <c r="G36" s="25">
        <v>923.06614940902239</v>
      </c>
      <c r="H36" s="25">
        <v>1153.832686761278</v>
      </c>
      <c r="I36" s="25">
        <v>34614.980602838339</v>
      </c>
    </row>
    <row r="37" spans="6:9" x14ac:dyDescent="0.25">
      <c r="F37" s="22">
        <v>51</v>
      </c>
      <c r="G37" s="23">
        <v>1000.4830298120628</v>
      </c>
      <c r="H37" s="23">
        <v>1250.6037872650786</v>
      </c>
      <c r="I37" s="23">
        <v>37518.113617952353</v>
      </c>
    </row>
    <row r="38" spans="6:9" x14ac:dyDescent="0.25">
      <c r="F38" s="24">
        <v>52</v>
      </c>
      <c r="G38" s="25">
        <v>1085.7189700744348</v>
      </c>
      <c r="H38" s="25">
        <v>1357.1487125930435</v>
      </c>
      <c r="I38" s="25">
        <v>40714.461377791304</v>
      </c>
    </row>
    <row r="39" spans="6:9" x14ac:dyDescent="0.25">
      <c r="F39" s="22">
        <v>53</v>
      </c>
      <c r="G39" s="23">
        <v>1179.6690080469496</v>
      </c>
      <c r="H39" s="23">
        <v>1474.586260058687</v>
      </c>
      <c r="I39" s="23">
        <v>44237.587801760608</v>
      </c>
    </row>
    <row r="40" spans="6:9" x14ac:dyDescent="0.25">
      <c r="F40" s="24">
        <v>54</v>
      </c>
      <c r="G40" s="25">
        <v>1283.33347833485</v>
      </c>
      <c r="H40" s="25">
        <v>1604.1668479185626</v>
      </c>
      <c r="I40" s="25">
        <v>48125.00543755688</v>
      </c>
    </row>
    <row r="41" spans="6:9" x14ac:dyDescent="0.25">
      <c r="F41" s="22">
        <v>55</v>
      </c>
      <c r="G41" s="23">
        <v>1399.560670128144</v>
      </c>
      <c r="H41" s="23">
        <v>1749.45083766018</v>
      </c>
      <c r="I41" s="23">
        <v>52483.525129805399</v>
      </c>
    </row>
    <row r="42" spans="6:9" x14ac:dyDescent="0.25">
      <c r="F42" s="24">
        <v>56</v>
      </c>
      <c r="G42" s="25">
        <v>1527.5749044073762</v>
      </c>
      <c r="H42" s="25">
        <v>1909.4686305092202</v>
      </c>
      <c r="I42" s="25">
        <v>57284.058915276604</v>
      </c>
    </row>
    <row r="43" spans="6:9" x14ac:dyDescent="0.25">
      <c r="F43" s="22">
        <v>57</v>
      </c>
      <c r="G43" s="23">
        <v>1668.0853106613256</v>
      </c>
      <c r="H43" s="23">
        <v>2085.106638326657</v>
      </c>
      <c r="I43" s="23">
        <v>62553.199149799708</v>
      </c>
    </row>
    <row r="44" spans="6:9" x14ac:dyDescent="0.25">
      <c r="F44" s="24">
        <v>58</v>
      </c>
      <c r="G44" s="25">
        <v>1821.5847320106934</v>
      </c>
      <c r="H44" s="25">
        <v>2276.9809150133669</v>
      </c>
      <c r="I44" s="25">
        <v>68309.42745040101</v>
      </c>
    </row>
    <row r="45" spans="6:9" x14ac:dyDescent="0.25">
      <c r="F45" s="22">
        <v>59</v>
      </c>
      <c r="G45" s="23">
        <v>1988.6760234633421</v>
      </c>
      <c r="H45" s="23">
        <v>2485.8450293291776</v>
      </c>
      <c r="I45" s="23">
        <v>74575.350879875332</v>
      </c>
    </row>
    <row r="46" spans="6:9" x14ac:dyDescent="0.25">
      <c r="F46" s="24">
        <v>60</v>
      </c>
      <c r="G46" s="25">
        <v>2171.5413106065794</v>
      </c>
      <c r="H46" s="25">
        <v>2714.4266382582241</v>
      </c>
      <c r="I46" s="25">
        <v>81432.799147746729</v>
      </c>
    </row>
    <row r="47" spans="6:9" x14ac:dyDescent="0.25">
      <c r="F47" s="22">
        <v>61</v>
      </c>
      <c r="G47" s="23">
        <v>2369.0279054650237</v>
      </c>
      <c r="H47" s="23">
        <v>2961.2848818312796</v>
      </c>
      <c r="I47" s="23">
        <v>88838.546454938391</v>
      </c>
    </row>
    <row r="48" spans="6:9" x14ac:dyDescent="0.25">
      <c r="F48" s="24">
        <v>62</v>
      </c>
      <c r="G48" s="25">
        <v>2580.0313156943257</v>
      </c>
      <c r="H48" s="25">
        <v>3225.0391446179074</v>
      </c>
      <c r="I48" s="25">
        <v>96751.17433853721</v>
      </c>
    </row>
    <row r="49" spans="6:9" x14ac:dyDescent="0.25">
      <c r="F49" s="22">
        <v>63</v>
      </c>
      <c r="G49" s="23">
        <v>2803.1314582623363</v>
      </c>
      <c r="H49" s="23">
        <v>3503.9143228279204</v>
      </c>
      <c r="I49" s="23">
        <v>105117.42968483761</v>
      </c>
    </row>
    <row r="50" spans="6:9" x14ac:dyDescent="0.25">
      <c r="F50" s="24">
        <v>64</v>
      </c>
      <c r="G50" s="25">
        <v>3036.7448676971189</v>
      </c>
      <c r="H50" s="25">
        <v>3795.9310846213984</v>
      </c>
      <c r="I50" s="25">
        <v>113877.93253864197</v>
      </c>
    </row>
    <row r="51" spans="6:9" x14ac:dyDescent="0.25">
      <c r="F51" s="22">
        <v>65</v>
      </c>
      <c r="G51" s="23">
        <v>3280.8378217061681</v>
      </c>
      <c r="H51" s="23">
        <v>4101.0472771327104</v>
      </c>
      <c r="I51" s="23">
        <v>123031.41831398131</v>
      </c>
    </row>
    <row r="52" spans="6:9" x14ac:dyDescent="0.25">
      <c r="F52" s="24">
        <v>66</v>
      </c>
      <c r="G52" s="25">
        <v>3532.939790758965</v>
      </c>
      <c r="H52" s="25">
        <v>4416.1747384487062</v>
      </c>
      <c r="I52" s="25">
        <v>132485.24215346118</v>
      </c>
    </row>
    <row r="53" spans="6:9" x14ac:dyDescent="0.25">
      <c r="F53" s="22">
        <v>67</v>
      </c>
      <c r="G53" s="23">
        <v>3789.9952336413039</v>
      </c>
      <c r="H53" s="23">
        <v>4737.4940420516295</v>
      </c>
      <c r="I53" s="23">
        <v>142124.8212615489</v>
      </c>
    </row>
    <row r="54" spans="6:9" x14ac:dyDescent="0.25">
      <c r="F54" s="24">
        <v>68</v>
      </c>
      <c r="G54" s="25">
        <v>4051.9164882850041</v>
      </c>
      <c r="H54" s="25">
        <v>5064.895610356255</v>
      </c>
      <c r="I54" s="25">
        <v>151946.86831068766</v>
      </c>
    </row>
    <row r="55" spans="6:9" x14ac:dyDescent="0.25">
      <c r="F55" s="22">
        <v>69</v>
      </c>
      <c r="G55" s="23">
        <v>4318.0155125691008</v>
      </c>
      <c r="H55" s="23">
        <v>5397.5193907113762</v>
      </c>
      <c r="I55" s="23">
        <v>161925.58172134127</v>
      </c>
    </row>
    <row r="56" spans="6:9" x14ac:dyDescent="0.25">
      <c r="F56" s="24">
        <v>70</v>
      </c>
      <c r="G56" s="25">
        <v>4588.3592251397758</v>
      </c>
      <c r="H56" s="25">
        <v>5735.4490314247196</v>
      </c>
      <c r="I56" s="25">
        <v>172063.47094274158</v>
      </c>
    </row>
    <row r="57" spans="6:9" x14ac:dyDescent="0.25">
      <c r="F57" s="22">
        <v>71</v>
      </c>
      <c r="G57" s="23">
        <v>4866.3883248239972</v>
      </c>
      <c r="H57" s="23">
        <v>6082.9854060299967</v>
      </c>
      <c r="I57" s="23">
        <v>182489.5621808999</v>
      </c>
    </row>
    <row r="58" spans="6:9" x14ac:dyDescent="0.25">
      <c r="F58" s="24">
        <v>72</v>
      </c>
      <c r="G58" s="25">
        <v>5153.8678935751122</v>
      </c>
      <c r="H58" s="25">
        <v>6442.3348669688903</v>
      </c>
      <c r="I58" s="25">
        <v>193270.04600906672</v>
      </c>
    </row>
    <row r="59" spans="6:9" x14ac:dyDescent="0.25">
      <c r="F59" s="22">
        <v>73</v>
      </c>
      <c r="G59" s="23">
        <v>5454.5994919552058</v>
      </c>
      <c r="H59" s="23">
        <v>6818.2493649440075</v>
      </c>
      <c r="I59" s="23">
        <v>204547.48094832021</v>
      </c>
    </row>
    <row r="60" spans="6:9" x14ac:dyDescent="0.25">
      <c r="F60" s="24">
        <v>74</v>
      </c>
      <c r="G60" s="25">
        <v>5774.2648192551615</v>
      </c>
      <c r="H60" s="25">
        <v>7217.8310240689516</v>
      </c>
      <c r="I60" s="25">
        <v>216534.93072206856</v>
      </c>
    </row>
    <row r="61" spans="6:9" x14ac:dyDescent="0.25">
      <c r="F61" s="66">
        <v>75</v>
      </c>
      <c r="G61" s="67">
        <v>6116.1713613362472</v>
      </c>
      <c r="H61" s="67">
        <v>7645.2142016703092</v>
      </c>
      <c r="I61" s="67">
        <v>229356.42605010926</v>
      </c>
    </row>
    <row r="62" spans="6:9" x14ac:dyDescent="0.25">
      <c r="F62" s="68"/>
      <c r="G62" s="69"/>
      <c r="H62" s="69"/>
      <c r="I62" s="69"/>
    </row>
    <row r="63" spans="6:9" x14ac:dyDescent="0.25">
      <c r="F63" s="65"/>
      <c r="G63" s="70"/>
      <c r="H63" s="70"/>
      <c r="I63" s="70"/>
    </row>
    <row r="64" spans="6:9" x14ac:dyDescent="0.25">
      <c r="F64" s="68"/>
      <c r="G64" s="69"/>
      <c r="H64" s="69"/>
      <c r="I64" s="69"/>
    </row>
    <row r="65" spans="6:9" x14ac:dyDescent="0.25">
      <c r="F65" s="65"/>
      <c r="G65" s="70"/>
      <c r="H65" s="70"/>
      <c r="I65" s="70"/>
    </row>
    <row r="66" spans="6:9" x14ac:dyDescent="0.25">
      <c r="F66" s="68"/>
      <c r="G66" s="69"/>
      <c r="H66" s="69"/>
      <c r="I66" s="69"/>
    </row>
  </sheetData>
  <mergeCells count="6">
    <mergeCell ref="A1:D1"/>
    <mergeCell ref="A3:D3"/>
    <mergeCell ref="A10:D10"/>
    <mergeCell ref="F3:I3"/>
    <mergeCell ref="K3:O3"/>
    <mergeCell ref="K5:O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CalculerPrimePure">
                <anchor moveWithCells="1" siz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GenererTableauPrimes">
                <anchor moveWithCells="1" sizeWithCells="1">
                  <from>
                    <xdr:col>5</xdr:col>
                    <xdr:colOff>85725</xdr:colOff>
                    <xdr:row>0</xdr:row>
                    <xdr:rowOff>209550</xdr:rowOff>
                  </from>
                  <to>
                    <xdr:col>7</xdr:col>
                    <xdr:colOff>381000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8D3D3-816F-4E9C-8B1E-1AA6A8AA5A33}">
  <sheetPr codeName="Feuil4">
    <tabColor rgb="FFC00000"/>
  </sheetPr>
  <dimension ref="A1:A5"/>
  <sheetViews>
    <sheetView topLeftCell="A41" workbookViewId="0">
      <selection activeCell="I58" sqref="I58"/>
    </sheetView>
  </sheetViews>
  <sheetFormatPr baseColWidth="10" defaultRowHeight="15" x14ac:dyDescent="0.25"/>
  <sheetData>
    <row r="1" ht="15" customHeight="1" x14ac:dyDescent="0.25"/>
    <row r="2" ht="15" customHeight="1" x14ac:dyDescent="0.25"/>
    <row r="3" ht="15" customHeight="1" x14ac:dyDescent="0.25"/>
    <row r="4" ht="15" customHeight="1" x14ac:dyDescent="0.25"/>
    <row r="5" ht="15.75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95B75-C756-4E10-9298-BED763FF58B3}">
  <sheetPr codeName="Feuil11">
    <tabColor rgb="FF800080"/>
  </sheetPr>
  <dimension ref="A1:J87"/>
  <sheetViews>
    <sheetView topLeftCell="A65" zoomScale="85" zoomScaleNormal="85" workbookViewId="0">
      <selection activeCell="B71" sqref="B71:C74"/>
    </sheetView>
  </sheetViews>
  <sheetFormatPr baseColWidth="10" defaultRowHeight="15" x14ac:dyDescent="0.25"/>
  <cols>
    <col min="1" max="1" width="22.5703125" customWidth="1"/>
    <col min="2" max="2" width="13.28515625" customWidth="1"/>
    <col min="3" max="3" width="14.7109375" customWidth="1"/>
    <col min="4" max="4" width="12.7109375" customWidth="1"/>
    <col min="5" max="5" width="14.7109375" customWidth="1"/>
    <col min="6" max="6" width="13.7109375" customWidth="1"/>
    <col min="7" max="7" width="12.7109375" customWidth="1"/>
    <col min="8" max="8" width="14.7109375" customWidth="1"/>
    <col min="9" max="9" width="14" customWidth="1"/>
  </cols>
  <sheetData>
    <row r="1" spans="1:9" ht="30" customHeight="1" x14ac:dyDescent="0.25">
      <c r="A1" s="83" t="s">
        <v>40</v>
      </c>
      <c r="B1" s="83"/>
      <c r="C1" s="83"/>
      <c r="D1" s="83"/>
      <c r="E1" s="83"/>
      <c r="F1" s="83"/>
      <c r="G1" s="83"/>
      <c r="H1" s="83"/>
    </row>
    <row r="2" spans="1:9" ht="20.100000000000001" customHeight="1" x14ac:dyDescent="0.25">
      <c r="A2" s="84" t="s">
        <v>41</v>
      </c>
      <c r="B2" s="84"/>
      <c r="C2" s="84"/>
      <c r="D2" s="84"/>
      <c r="E2" s="84"/>
      <c r="F2" s="84"/>
      <c r="G2" s="84"/>
      <c r="H2" s="84"/>
    </row>
    <row r="3" spans="1:9" ht="15.75" thickBot="1" x14ac:dyDescent="0.3">
      <c r="A3" s="26"/>
      <c r="B3" s="26"/>
      <c r="C3" s="26"/>
      <c r="D3" s="26"/>
      <c r="E3" s="26"/>
      <c r="F3" s="26"/>
      <c r="G3" s="26"/>
      <c r="H3" s="26"/>
    </row>
    <row r="4" spans="1:9" ht="24.95" customHeight="1" thickTop="1" x14ac:dyDescent="0.25">
      <c r="A4" s="85" t="s">
        <v>42</v>
      </c>
      <c r="B4" s="85"/>
      <c r="C4" s="85"/>
      <c r="D4" s="85"/>
      <c r="E4" s="85"/>
      <c r="F4" s="85"/>
      <c r="G4" s="85"/>
      <c r="H4" s="85"/>
    </row>
    <row r="5" spans="1:9" x14ac:dyDescent="0.25">
      <c r="A5" s="28" t="s">
        <v>43</v>
      </c>
      <c r="B5" s="29">
        <v>40</v>
      </c>
      <c r="C5" s="32" t="s">
        <v>28</v>
      </c>
    </row>
    <row r="6" spans="1:9" x14ac:dyDescent="0.25">
      <c r="A6" s="28" t="s">
        <v>44</v>
      </c>
      <c r="B6" s="29" t="s">
        <v>110</v>
      </c>
      <c r="C6" s="32"/>
    </row>
    <row r="7" spans="1:9" x14ac:dyDescent="0.25">
      <c r="A7" s="28" t="s">
        <v>25</v>
      </c>
      <c r="B7" s="30">
        <v>200000</v>
      </c>
      <c r="C7" s="32"/>
    </row>
    <row r="8" spans="1:9" x14ac:dyDescent="0.25">
      <c r="A8" s="28" t="s">
        <v>45</v>
      </c>
      <c r="B8" s="29">
        <v>20</v>
      </c>
      <c r="C8" s="32" t="s">
        <v>28</v>
      </c>
    </row>
    <row r="9" spans="1:9" x14ac:dyDescent="0.25">
      <c r="A9" s="28" t="s">
        <v>46</v>
      </c>
      <c r="B9" s="30">
        <v>5234</v>
      </c>
      <c r="C9" s="32"/>
    </row>
    <row r="10" spans="1:9" x14ac:dyDescent="0.25">
      <c r="A10" s="28" t="s">
        <v>47</v>
      </c>
      <c r="B10" s="31">
        <v>0.02</v>
      </c>
      <c r="C10" s="32" t="s">
        <v>50</v>
      </c>
    </row>
    <row r="11" spans="1:9" x14ac:dyDescent="0.25">
      <c r="A11" s="28" t="s">
        <v>48</v>
      </c>
      <c r="B11" s="30">
        <v>25000</v>
      </c>
      <c r="C11" s="32"/>
    </row>
    <row r="12" spans="1:9" ht="15.75" thickBot="1" x14ac:dyDescent="0.3">
      <c r="A12" s="28" t="s">
        <v>84</v>
      </c>
      <c r="B12" s="44">
        <v>0.06</v>
      </c>
      <c r="C12" s="33"/>
      <c r="D12" s="33"/>
      <c r="E12" s="33"/>
      <c r="F12" s="33"/>
      <c r="G12" s="33"/>
      <c r="H12" s="33"/>
    </row>
    <row r="13" spans="1:9" ht="15.75" thickBot="1" x14ac:dyDescent="0.3">
      <c r="A13" t="s">
        <v>85</v>
      </c>
      <c r="B13" s="44">
        <v>0.15</v>
      </c>
    </row>
    <row r="14" spans="1:9" ht="24.95" customHeight="1" x14ac:dyDescent="0.25">
      <c r="A14" s="86" t="s">
        <v>51</v>
      </c>
      <c r="B14" s="86"/>
      <c r="C14" s="86"/>
      <c r="D14" s="86"/>
      <c r="E14" s="86"/>
      <c r="F14" s="86"/>
      <c r="G14" s="86"/>
      <c r="H14" s="86"/>
    </row>
    <row r="16" spans="1:9" ht="20.100000000000001" customHeight="1" x14ac:dyDescent="0.25">
      <c r="A16" s="34" t="s">
        <v>54</v>
      </c>
      <c r="B16" s="34" t="s">
        <v>13</v>
      </c>
      <c r="C16" s="87" t="s">
        <v>52</v>
      </c>
      <c r="D16" s="87"/>
      <c r="E16" s="87" t="s">
        <v>53</v>
      </c>
      <c r="F16" s="87"/>
      <c r="G16" s="87"/>
      <c r="H16" s="34" t="s">
        <v>55</v>
      </c>
      <c r="I16" s="34"/>
    </row>
    <row r="17" spans="1:9" ht="30" customHeight="1" x14ac:dyDescent="0.25">
      <c r="A17" s="35" t="s">
        <v>56</v>
      </c>
      <c r="B17" s="35" t="s">
        <v>57</v>
      </c>
      <c r="C17" s="35" t="s">
        <v>58</v>
      </c>
      <c r="D17" s="35" t="s">
        <v>59</v>
      </c>
      <c r="E17" s="35" t="s">
        <v>60</v>
      </c>
      <c r="F17" s="35" t="s">
        <v>61</v>
      </c>
      <c r="G17" s="35" t="s">
        <v>62</v>
      </c>
      <c r="H17" s="35" t="s">
        <v>63</v>
      </c>
      <c r="I17" s="35" t="s">
        <v>108</v>
      </c>
    </row>
    <row r="18" spans="1:9" x14ac:dyDescent="0.25">
      <c r="A18" s="37">
        <v>0</v>
      </c>
      <c r="B18" s="37">
        <f t="shared" ref="B18:B38" si="0">$B$5+A18</f>
        <v>40</v>
      </c>
      <c r="C18" s="38" cm="1">
        <f t="array" ref="C18">_xlfn.LET(
_xlpm.type,$B$6,
_xlpm.x,$B$5, _xlpm.n,$B$8, _xlpm.i,$B$10, _xlpm.Cap,$B$7,
_xlpm.t,A18,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135473.36345059771</v>
      </c>
      <c r="D18" s="38">
        <f>_xlfn.LET(
_xlpm.type,$B$6,
_xlpm.x,$B$5, _xlpm.n,$B$8, _xlpm.i,$B$10, _xlpm.Cap,$B$7,
_xlpm.t,A18,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211.76470588235293</v>
      </c>
      <c r="E18" s="7">
        <f>C18+D18</f>
        <v>135685.12815648006</v>
      </c>
      <c r="F18" s="15">
        <f>$B$12*I18</f>
        <v>23092.498691691304</v>
      </c>
      <c r="G18" s="15">
        <f>E18*$B$13</f>
        <v>20352.769223472009</v>
      </c>
      <c r="H18" s="7">
        <f>E18 + F18</f>
        <v>158777.62684817135</v>
      </c>
      <c r="I18" s="15">
        <f t="shared" ref="I18:I36" si="1">(G19 + I19)/(1+$B$10)</f>
        <v>384874.9781948551</v>
      </c>
    </row>
    <row r="19" spans="1:9" x14ac:dyDescent="0.25">
      <c r="A19" s="36">
        <v>1</v>
      </c>
      <c r="B19" s="36">
        <f t="shared" si="0"/>
        <v>41</v>
      </c>
      <c r="C19" s="38" cm="1">
        <f t="array" ref="C19">_xlfn.LET(
_xlpm.type,$B$6,
_xlpm.x,$B$5, _xlpm.n,$B$8, _xlpm.i,$B$10, _xlpm.Cap,$B$7,
_xlpm.t,A19,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138100.76735251767</v>
      </c>
      <c r="D19" s="38">
        <f>_xlfn.LET(
_xlpm.type,$B$6,
_xlpm.x,$B$5, _xlpm.n,$B$8, _xlpm.i,$B$10, _xlpm.Cap,$B$7,
_xlpm.t,A19,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231.37254901960785</v>
      </c>
      <c r="E19" s="7">
        <f t="shared" ref="E19:E37" si="2">C19+D19</f>
        <v>138332.13990153727</v>
      </c>
      <c r="F19" s="15">
        <f t="shared" ref="F19:F38" si="3">$B$12*I19</f>
        <v>22309.359406411291</v>
      </c>
      <c r="G19" s="15">
        <f t="shared" ref="G19:G38" si="4">E19*$B$13</f>
        <v>20749.820985230592</v>
      </c>
      <c r="H19" s="7">
        <f t="shared" ref="H19:H38" si="5">E19 + F19</f>
        <v>160641.49930794857</v>
      </c>
      <c r="I19" s="15">
        <f t="shared" si="1"/>
        <v>371822.65677352156</v>
      </c>
    </row>
    <row r="20" spans="1:9" x14ac:dyDescent="0.25">
      <c r="A20" s="37">
        <v>2</v>
      </c>
      <c r="B20" s="37">
        <f t="shared" si="0"/>
        <v>42</v>
      </c>
      <c r="C20" s="38" cm="1">
        <f t="array" ref="C20">_xlfn.LET(
_xlpm.type,$B$6,
_xlpm.x,$B$5, _xlpm.n,$B$8, _xlpm.i,$B$10, _xlpm.Cap,$B$7,
_xlpm.t,A20,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140782.48493939676</v>
      </c>
      <c r="D20" s="38">
        <f>_xlfn.LET(
_xlpm.type,$B$6,
_xlpm.x,$B$5, _xlpm.n,$B$8, _xlpm.i,$B$10, _xlpm.Cap,$B$7,
_xlpm.t,A20,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247.05882352941177</v>
      </c>
      <c r="E20" s="7">
        <f t="shared" si="2"/>
        <v>141029.54376292616</v>
      </c>
      <c r="F20" s="15">
        <f t="shared" si="3"/>
        <v>21486.280700673185</v>
      </c>
      <c r="G20" s="15">
        <f t="shared" si="4"/>
        <v>21154.431564438924</v>
      </c>
      <c r="H20" s="7">
        <f t="shared" si="5"/>
        <v>162515.82446359933</v>
      </c>
      <c r="I20" s="15">
        <f t="shared" si="1"/>
        <v>358104.6783445531</v>
      </c>
    </row>
    <row r="21" spans="1:9" x14ac:dyDescent="0.25">
      <c r="A21" s="36">
        <v>3</v>
      </c>
      <c r="B21" s="36">
        <f t="shared" si="0"/>
        <v>43</v>
      </c>
      <c r="C21" s="38" cm="1">
        <f t="array" ref="C21">_xlfn.LET(
_xlpm.type,$B$6,
_xlpm.x,$B$5, _xlpm.n,$B$8, _xlpm.i,$B$10, _xlpm.Cap,$B$7,
_xlpm.t,A21,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143513.91321926491</v>
      </c>
      <c r="D21" s="38">
        <f>_xlfn.LET(
_xlpm.type,$B$6,
_xlpm.x,$B$5, _xlpm.n,$B$8, _xlpm.i,$B$10, _xlpm.Cap,$B$7,
_xlpm.t,A21,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264.7058823529411</v>
      </c>
      <c r="E21" s="7">
        <f t="shared" si="2"/>
        <v>143778.61910161786</v>
      </c>
      <c r="F21" s="15">
        <f t="shared" si="3"/>
        <v>20621.998742772088</v>
      </c>
      <c r="G21" s="15">
        <f t="shared" si="4"/>
        <v>21566.792865242678</v>
      </c>
      <c r="H21" s="7">
        <f t="shared" si="5"/>
        <v>164400.61784438996</v>
      </c>
      <c r="I21" s="15">
        <f t="shared" si="1"/>
        <v>343699.97904620151</v>
      </c>
    </row>
    <row r="22" spans="1:9" x14ac:dyDescent="0.25">
      <c r="A22" s="37">
        <v>4</v>
      </c>
      <c r="B22" s="37">
        <f t="shared" si="0"/>
        <v>44</v>
      </c>
      <c r="C22" s="38" cm="1">
        <f t="array" ref="C22">_xlfn.LET(
_xlpm.type,$B$6,
_xlpm.x,$B$5, _xlpm.n,$B$8, _xlpm.i,$B$10, _xlpm.Cap,$B$7,
_xlpm.t,A22,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146295.6322432195</v>
      </c>
      <c r="D22" s="38">
        <f>_xlfn.LET(
_xlpm.type,$B$6,
_xlpm.x,$B$5, _xlpm.n,$B$8, _xlpm.i,$B$10, _xlpm.Cap,$B$7,
_xlpm.t,A22,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286.27450980392155</v>
      </c>
      <c r="E22" s="7">
        <f t="shared" si="2"/>
        <v>146581.90675302342</v>
      </c>
      <c r="F22" s="15">
        <f t="shared" si="3"/>
        <v>19715.201556850323</v>
      </c>
      <c r="G22" s="15">
        <f t="shared" si="4"/>
        <v>21987.286012953511</v>
      </c>
      <c r="H22" s="7">
        <f t="shared" si="5"/>
        <v>166297.10830987373</v>
      </c>
      <c r="I22" s="15">
        <f t="shared" si="1"/>
        <v>328586.69261417206</v>
      </c>
    </row>
    <row r="23" spans="1:9" x14ac:dyDescent="0.25">
      <c r="A23" s="36">
        <v>5</v>
      </c>
      <c r="B23" s="36">
        <f t="shared" si="0"/>
        <v>45</v>
      </c>
      <c r="C23" s="38" cm="1">
        <f t="array" ref="C23">_xlfn.LET(
_xlpm.type,$B$6,
_xlpm.x,$B$5, _xlpm.n,$B$8, _xlpm.i,$B$10, _xlpm.Cap,$B$7,
_xlpm.t,A23,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149120.60019597085</v>
      </c>
      <c r="D23" s="38">
        <f>_xlfn.LET(
_xlpm.type,$B$6,
_xlpm.x,$B$5, _xlpm.n,$B$8, _xlpm.i,$B$10, _xlpm.Cap,$B$7,
_xlpm.t,A23,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319.60784313725486</v>
      </c>
      <c r="E23" s="7">
        <f t="shared" si="2"/>
        <v>149440.20803910811</v>
      </c>
      <c r="F23" s="15">
        <f t="shared" si="3"/>
        <v>18764.543715635358</v>
      </c>
      <c r="G23" s="15">
        <f t="shared" si="4"/>
        <v>22416.031205866217</v>
      </c>
      <c r="H23" s="7">
        <f t="shared" si="5"/>
        <v>168204.75175474345</v>
      </c>
      <c r="I23" s="15">
        <f t="shared" si="1"/>
        <v>312742.39526058931</v>
      </c>
    </row>
    <row r="24" spans="1:9" x14ac:dyDescent="0.25">
      <c r="A24" s="37">
        <v>6</v>
      </c>
      <c r="B24" s="37">
        <f t="shared" si="0"/>
        <v>46</v>
      </c>
      <c r="C24" s="38" cm="1">
        <f t="array" ref="C24">_xlfn.LET(
_xlpm.type,$B$6,
_xlpm.x,$B$5, _xlpm.n,$B$8, _xlpm.i,$B$10, _xlpm.Cap,$B$7,
_xlpm.t,A24,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152012.02473281126</v>
      </c>
      <c r="D24" s="38">
        <f>_xlfn.LET(
_xlpm.type,$B$6,
_xlpm.x,$B$5, _xlpm.n,$B$8, _xlpm.i,$B$10, _xlpm.Cap,$B$7,
_xlpm.t,A24,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339.21568627450978</v>
      </c>
      <c r="E24" s="7">
        <f t="shared" si="2"/>
        <v>152351.24041908578</v>
      </c>
      <c r="F24" s="15">
        <f t="shared" si="3"/>
        <v>17768.673426176294</v>
      </c>
      <c r="G24" s="15">
        <f t="shared" si="4"/>
        <v>22852.686062862867</v>
      </c>
      <c r="H24" s="7">
        <f t="shared" si="5"/>
        <v>170119.91384526208</v>
      </c>
      <c r="I24" s="15">
        <f t="shared" si="1"/>
        <v>296144.55710293824</v>
      </c>
    </row>
    <row r="25" spans="1:9" x14ac:dyDescent="0.25">
      <c r="A25" s="36">
        <v>7</v>
      </c>
      <c r="B25" s="36">
        <f t="shared" si="0"/>
        <v>47</v>
      </c>
      <c r="C25" s="38" cm="1">
        <f t="array" ref="C25">_xlfn.LET(
_xlpm.type,$B$6,
_xlpm.x,$B$5, _xlpm.n,$B$8, _xlpm.i,$B$10, _xlpm.Cap,$B$7,
_xlpm.t,A25,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154955.02177945868</v>
      </c>
      <c r="D25" s="38">
        <f>_xlfn.LET(
_xlpm.type,$B$6,
_xlpm.x,$B$5, _xlpm.n,$B$8, _xlpm.i,$B$10, _xlpm.Cap,$B$7,
_xlpm.t,A25,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366.66666666666663</v>
      </c>
      <c r="E25" s="7">
        <f t="shared" si="2"/>
        <v>155321.68844612534</v>
      </c>
      <c r="F25" s="15">
        <f t="shared" si="3"/>
        <v>16726.151698684691</v>
      </c>
      <c r="G25" s="15">
        <f t="shared" si="4"/>
        <v>23298.2532669188</v>
      </c>
      <c r="H25" s="7">
        <f t="shared" si="5"/>
        <v>172047.84014481003</v>
      </c>
      <c r="I25" s="15">
        <f t="shared" si="1"/>
        <v>278769.19497807819</v>
      </c>
    </row>
    <row r="26" spans="1:9" x14ac:dyDescent="0.25">
      <c r="A26" s="37">
        <v>8</v>
      </c>
      <c r="B26" s="37">
        <f t="shared" si="0"/>
        <v>48</v>
      </c>
      <c r="C26" s="38" cm="1">
        <f t="array" ref="C26">_xlfn.LET(
_xlpm.type,$B$6,
_xlpm.x,$B$5, _xlpm.n,$B$8, _xlpm.i,$B$10, _xlpm.Cap,$B$7,
_xlpm.t,A26,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157944.55979621198</v>
      </c>
      <c r="D26" s="38">
        <f>_xlfn.LET(
_xlpm.type,$B$6,
_xlpm.x,$B$5, _xlpm.n,$B$8, _xlpm.i,$B$10, _xlpm.Cap,$B$7,
_xlpm.t,A26,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405.88235294117641</v>
      </c>
      <c r="E26" s="7">
        <f t="shared" si="2"/>
        <v>158350.44214915315</v>
      </c>
      <c r="F26" s="15">
        <f t="shared" si="3"/>
        <v>15635.520753316008</v>
      </c>
      <c r="G26" s="15">
        <f t="shared" si="4"/>
        <v>23752.566322372972</v>
      </c>
      <c r="H26" s="7">
        <f t="shared" si="5"/>
        <v>173985.96290246915</v>
      </c>
      <c r="I26" s="15">
        <f t="shared" si="1"/>
        <v>260592.01255526682</v>
      </c>
    </row>
    <row r="27" spans="1:9" x14ac:dyDescent="0.25">
      <c r="A27" s="36">
        <v>9</v>
      </c>
      <c r="B27" s="36">
        <f t="shared" si="0"/>
        <v>49</v>
      </c>
      <c r="C27" s="38" cm="1">
        <f t="array" ref="C27">_xlfn.LET(
_xlpm.type,$B$6,
_xlpm.x,$B$5, _xlpm.n,$B$8, _xlpm.i,$B$10, _xlpm.Cap,$B$7,
_xlpm.t,A27,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160984.77004161858</v>
      </c>
      <c r="D27" s="38">
        <f>_xlfn.LET(
_xlpm.type,$B$6,
_xlpm.x,$B$5, _xlpm.n,$B$8, _xlpm.i,$B$10, _xlpm.Cap,$B$7,
_xlpm.t,A27,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452.94117647058823</v>
      </c>
      <c r="E27" s="7">
        <f t="shared" si="2"/>
        <v>161437.71121808919</v>
      </c>
      <c r="F27" s="15">
        <f t="shared" si="3"/>
        <v>14495.291767419525</v>
      </c>
      <c r="G27" s="15">
        <f t="shared" si="4"/>
        <v>24215.656682713376</v>
      </c>
      <c r="H27" s="7">
        <f t="shared" si="5"/>
        <v>175933.00298550871</v>
      </c>
      <c r="I27" s="15">
        <f t="shared" si="1"/>
        <v>241588.19612365877</v>
      </c>
    </row>
    <row r="28" spans="1:9" x14ac:dyDescent="0.25">
      <c r="A28" s="37">
        <v>10</v>
      </c>
      <c r="B28" s="37">
        <f t="shared" si="0"/>
        <v>50</v>
      </c>
      <c r="C28" s="38" cm="1">
        <f t="array" ref="C28">_xlfn.LET(
_xlpm.type,$B$6,
_xlpm.x,$B$5, _xlpm.n,$B$8, _xlpm.i,$B$10, _xlpm.Cap,$B$7,
_xlpm.t,A28,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164079.40015136969</v>
      </c>
      <c r="D28" s="38">
        <f>_xlfn.LET(
_xlpm.type,$B$6,
_xlpm.x,$B$5, _xlpm.n,$B$8, _xlpm.i,$B$10, _xlpm.Cap,$B$7,
_xlpm.t,A28,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503.92156862745094</v>
      </c>
      <c r="E28" s="7">
        <f t="shared" si="2"/>
        <v>164583.32171999713</v>
      </c>
      <c r="F28" s="15">
        <f t="shared" si="3"/>
        <v>13303.947707287942</v>
      </c>
      <c r="G28" s="15">
        <f t="shared" si="4"/>
        <v>24687.498257999567</v>
      </c>
      <c r="H28" s="7">
        <f t="shared" si="5"/>
        <v>177887.26942728506</v>
      </c>
      <c r="I28" s="15">
        <f t="shared" si="1"/>
        <v>221732.46178813238</v>
      </c>
    </row>
    <row r="29" spans="1:9" x14ac:dyDescent="0.25">
      <c r="A29" s="36">
        <v>11</v>
      </c>
      <c r="B29" s="36">
        <f t="shared" si="0"/>
        <v>51</v>
      </c>
      <c r="C29" s="38" cm="1">
        <f t="array" ref="C29">_xlfn.LET(
_xlpm.type,$B$6,
_xlpm.x,$B$5, _xlpm.n,$B$8, _xlpm.i,$B$10, _xlpm.Cap,$B$7,
_xlpm.t,A29,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167246.20274328251</v>
      </c>
      <c r="D29" s="38">
        <f>_xlfn.LET(
_xlpm.type,$B$6,
_xlpm.x,$B$5, _xlpm.n,$B$8, _xlpm.i,$B$10, _xlpm.Cap,$B$7,
_xlpm.t,A29,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547.05882352941171</v>
      </c>
      <c r="E29" s="7">
        <f t="shared" si="2"/>
        <v>167793.26156681191</v>
      </c>
      <c r="F29" s="15">
        <f t="shared" si="3"/>
        <v>12059.887307332394</v>
      </c>
      <c r="G29" s="15">
        <f t="shared" si="4"/>
        <v>25168.989235021785</v>
      </c>
      <c r="H29" s="7">
        <f t="shared" si="5"/>
        <v>179853.1488741443</v>
      </c>
      <c r="I29" s="15">
        <f t="shared" si="1"/>
        <v>200998.12178887325</v>
      </c>
    </row>
    <row r="30" spans="1:9" x14ac:dyDescent="0.25">
      <c r="A30" s="37">
        <v>12</v>
      </c>
      <c r="B30" s="37">
        <f t="shared" si="0"/>
        <v>52</v>
      </c>
      <c r="C30" s="38" cm="1">
        <f t="array" ref="C30">_xlfn.LET(
_xlpm.type,$B$6,
_xlpm.x,$B$5, _xlpm.n,$B$8, _xlpm.i,$B$10, _xlpm.Cap,$B$7,
_xlpm.t,A30,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170458.84351341368</v>
      </c>
      <c r="D30" s="38">
        <f>_xlfn.LET(
_xlpm.type,$B$6,
_xlpm.x,$B$5, _xlpm.n,$B$8, _xlpm.i,$B$10, _xlpm.Cap,$B$7,
_xlpm.t,A30,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607.84313725490199</v>
      </c>
      <c r="E30" s="7">
        <f t="shared" si="2"/>
        <v>171066.68665066859</v>
      </c>
      <c r="F30" s="15">
        <f t="shared" si="3"/>
        <v>10761.484873623025</v>
      </c>
      <c r="G30" s="15">
        <f t="shared" si="4"/>
        <v>25660.002997600288</v>
      </c>
      <c r="H30" s="7">
        <f t="shared" si="5"/>
        <v>181828.17152429163</v>
      </c>
      <c r="I30" s="15">
        <f t="shared" si="1"/>
        <v>179358.08122705042</v>
      </c>
    </row>
    <row r="31" spans="1:9" x14ac:dyDescent="0.25">
      <c r="A31" s="36">
        <v>13</v>
      </c>
      <c r="B31" s="36">
        <f t="shared" si="0"/>
        <v>53</v>
      </c>
      <c r="C31" s="38" cm="1">
        <f t="array" ref="C31">_xlfn.LET(
_xlpm.type,$B$6,
_xlpm.x,$B$5, _xlpm.n,$B$8, _xlpm.i,$B$10, _xlpm.Cap,$B$7,
_xlpm.t,A31,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173743.94212371614</v>
      </c>
      <c r="D31" s="38">
        <f>_xlfn.LET(
_xlpm.type,$B$6,
_xlpm.x,$B$5, _xlpm.n,$B$8, _xlpm.i,$B$10, _xlpm.Cap,$B$7,
_xlpm.t,A31,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664.7058823529411</v>
      </c>
      <c r="E31" s="7">
        <f t="shared" si="2"/>
        <v>174408.6480060691</v>
      </c>
      <c r="F31" s="15">
        <f t="shared" si="3"/>
        <v>9407.0367390408628</v>
      </c>
      <c r="G31" s="15">
        <f t="shared" si="4"/>
        <v>26161.297200910365</v>
      </c>
      <c r="H31" s="7">
        <f t="shared" si="5"/>
        <v>183815.68474510996</v>
      </c>
      <c r="I31" s="15">
        <f t="shared" si="1"/>
        <v>156783.94565068107</v>
      </c>
    </row>
    <row r="32" spans="1:9" x14ac:dyDescent="0.25">
      <c r="A32" s="37">
        <v>14</v>
      </c>
      <c r="B32" s="37">
        <f t="shared" si="0"/>
        <v>54</v>
      </c>
      <c r="C32" s="38" cm="1">
        <f t="array" ref="C32">_xlfn.LET(
_xlpm.type,$B$6,
_xlpm.x,$B$5, _xlpm.n,$B$8, _xlpm.i,$B$10, _xlpm.Cap,$B$7,
_xlpm.t,A32,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177102.23173637304</v>
      </c>
      <c r="D32" s="38">
        <f>_xlfn.LET(
_xlpm.type,$B$6,
_xlpm.x,$B$5, _xlpm.n,$B$8, _xlpm.i,$B$10, _xlpm.Cap,$B$7,
_xlpm.t,A32,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719.60784313725492</v>
      </c>
      <c r="E32" s="7">
        <f t="shared" si="2"/>
        <v>177821.8395795103</v>
      </c>
      <c r="F32" s="15">
        <f t="shared" si="3"/>
        <v>7994.7809176060891</v>
      </c>
      <c r="G32" s="15">
        <f t="shared" si="4"/>
        <v>26673.275936926544</v>
      </c>
      <c r="H32" s="7">
        <f t="shared" si="5"/>
        <v>185816.62049711638</v>
      </c>
      <c r="I32" s="15">
        <f t="shared" si="1"/>
        <v>133246.34862676816</v>
      </c>
    </row>
    <row r="33" spans="1:9" x14ac:dyDescent="0.25">
      <c r="A33" s="36">
        <v>15</v>
      </c>
      <c r="B33" s="36">
        <f t="shared" si="0"/>
        <v>55</v>
      </c>
      <c r="C33" s="38" cm="1">
        <f t="array" ref="C33">_xlfn.LET(
_xlpm.type,$B$6,
_xlpm.x,$B$5, _xlpm.n,$B$8, _xlpm.i,$B$10, _xlpm.Cap,$B$7,
_xlpm.t,A33,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180520.37714441936</v>
      </c>
      <c r="D33" s="38">
        <f>_xlfn.LET(
_xlpm.type,$B$6,
_xlpm.x,$B$5, _xlpm.n,$B$8, _xlpm.i,$B$10, _xlpm.Cap,$B$7,
_xlpm.t,A33,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790.19607843137248</v>
      </c>
      <c r="E33" s="7">
        <f t="shared" si="2"/>
        <v>181310.57322285074</v>
      </c>
      <c r="F33" s="15">
        <f t="shared" si="3"/>
        <v>6522.8813769525532</v>
      </c>
      <c r="G33" s="15">
        <f t="shared" si="4"/>
        <v>27196.585983427609</v>
      </c>
      <c r="H33" s="7">
        <f t="shared" si="5"/>
        <v>187833.45459980328</v>
      </c>
      <c r="I33" s="15">
        <f t="shared" si="1"/>
        <v>108714.68961587589</v>
      </c>
    </row>
    <row r="34" spans="1:9" x14ac:dyDescent="0.25">
      <c r="A34" s="37">
        <v>16</v>
      </c>
      <c r="B34" s="37">
        <f t="shared" si="0"/>
        <v>56</v>
      </c>
      <c r="C34" s="38" cm="1">
        <f t="array" ref="C34">_xlfn.LET(
_xlpm.type,$B$6,
_xlpm.x,$B$5, _xlpm.n,$B$8, _xlpm.i,$B$10, _xlpm.Cap,$B$7,
_xlpm.t,A34,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184014.06910753431</v>
      </c>
      <c r="D34" s="38">
        <f>_xlfn.LET(
_xlpm.type,$B$6,
_xlpm.x,$B$5, _xlpm.n,$B$8, _xlpm.i,$B$10, _xlpm.Cap,$B$7,
_xlpm.t,A34,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860.78431372549016</v>
      </c>
      <c r="E34" s="7">
        <f t="shared" si="2"/>
        <v>184874.85342125979</v>
      </c>
      <c r="F34" s="15">
        <f t="shared" si="3"/>
        <v>4989.4653237002658</v>
      </c>
      <c r="G34" s="15">
        <f t="shared" si="4"/>
        <v>27731.228013188967</v>
      </c>
      <c r="H34" s="7">
        <f t="shared" si="5"/>
        <v>189864.31874496007</v>
      </c>
      <c r="I34" s="15">
        <f t="shared" si="1"/>
        <v>83157.755395004438</v>
      </c>
    </row>
    <row r="35" spans="1:9" x14ac:dyDescent="0.25">
      <c r="A35" s="36">
        <v>17</v>
      </c>
      <c r="B35" s="36">
        <f t="shared" si="0"/>
        <v>57</v>
      </c>
      <c r="C35" s="38" cm="1">
        <f t="array" ref="C35">_xlfn.LET(
_xlpm.type,$B$6,
_xlpm.x,$B$5, _xlpm.n,$B$8, _xlpm.i,$B$10, _xlpm.Cap,$B$7,
_xlpm.t,A35,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187578.66520010532</v>
      </c>
      <c r="D35" s="38">
        <f>_xlfn.LET(
_xlpm.type,$B$6,
_xlpm.x,$B$5, _xlpm.n,$B$8, _xlpm.i,$B$10, _xlpm.Cap,$B$7,
_xlpm.t,A35,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943.13725490196077</v>
      </c>
      <c r="E35" s="7">
        <f t="shared" si="2"/>
        <v>188521.80245500727</v>
      </c>
      <c r="F35" s="15">
        <f t="shared" si="3"/>
        <v>3392.5584080792059</v>
      </c>
      <c r="G35" s="15">
        <f t="shared" si="4"/>
        <v>28278.270368251091</v>
      </c>
      <c r="H35" s="7">
        <f t="shared" si="5"/>
        <v>191914.36086308648</v>
      </c>
      <c r="I35" s="15">
        <f t="shared" si="1"/>
        <v>56542.640134653433</v>
      </c>
    </row>
    <row r="36" spans="1:9" x14ac:dyDescent="0.25">
      <c r="A36" s="37">
        <v>18</v>
      </c>
      <c r="B36" s="37">
        <f t="shared" si="0"/>
        <v>58</v>
      </c>
      <c r="C36" s="38" cm="1">
        <f t="array" ref="C36">_xlfn.LET(
_xlpm.type,$B$6,
_xlpm.x,$B$5, _xlpm.n,$B$8, _xlpm.i,$B$10, _xlpm.Cap,$B$7,
_xlpm.t,A36,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191231.68889492677</v>
      </c>
      <c r="D36" s="38">
        <f>_xlfn.LET(
_xlpm.type,$B$6,
_xlpm.x,$B$5, _xlpm.n,$B$8, _xlpm.i,$B$10, _xlpm.Cap,$B$7,
_xlpm.t,A36,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1023.5294117647059</v>
      </c>
      <c r="E36" s="7">
        <f t="shared" si="2"/>
        <v>192255.21830669147</v>
      </c>
      <c r="F36" s="15">
        <f t="shared" si="3"/>
        <v>1730.1126114805672</v>
      </c>
      <c r="G36" s="15">
        <f t="shared" si="4"/>
        <v>28838.282746003719</v>
      </c>
      <c r="H36" s="7">
        <f t="shared" si="5"/>
        <v>193985.33091817205</v>
      </c>
      <c r="I36" s="15">
        <f t="shared" si="1"/>
        <v>28835.210191342787</v>
      </c>
    </row>
    <row r="37" spans="1:9" x14ac:dyDescent="0.25">
      <c r="A37" s="36">
        <v>19</v>
      </c>
      <c r="B37" s="36">
        <f t="shared" si="0"/>
        <v>59</v>
      </c>
      <c r="C37" s="38" cm="1">
        <f t="array" ref="C37">_xlfn.LET(
_xlpm.type,$B$6,
_xlpm.x,$B$5, _xlpm.n,$B$8, _xlpm.i,$B$10, _xlpm.Cap,$B$7,
_xlpm.t,A37,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194991.19400701331</v>
      </c>
      <c r="D37" s="38">
        <f>_xlfn.LET(
_xlpm.type,$B$6,
_xlpm.x,$B$5, _xlpm.n,$B$8, _xlpm.i,$B$10, _xlpm.Cap,$B$7,
_xlpm.t,A37,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1088.2352941176471</v>
      </c>
      <c r="E37" s="7">
        <f t="shared" si="2"/>
        <v>196079.42930113096</v>
      </c>
      <c r="F37" s="15">
        <f t="shared" si="3"/>
        <v>0</v>
      </c>
      <c r="G37" s="15">
        <f t="shared" si="4"/>
        <v>29411.914395169642</v>
      </c>
      <c r="H37" s="7">
        <f t="shared" si="5"/>
        <v>196079.42930113096</v>
      </c>
      <c r="I37" s="15">
        <f>(G38 + I38)/(1+$B$10)</f>
        <v>0</v>
      </c>
    </row>
    <row r="38" spans="1:9" x14ac:dyDescent="0.25">
      <c r="A38" s="37">
        <v>20</v>
      </c>
      <c r="B38" s="37">
        <f t="shared" si="0"/>
        <v>60</v>
      </c>
      <c r="C38" s="38" cm="1">
        <f t="array" ref="C38">_xlfn.LET(
_xlpm.type,$B$6,
_xlpm.x,$B$5, _xlpm.n,$B$8, _xlpm.i,$B$10, _xlpm.Cap,$B$7,
_xlpm.t,A38, _xlpm.age,_xlpm.x+_xlpm.t, _xlpm.v,1/(1+_xlpm.i),
_xlpm.lx_t,_xlfn.XLOOKUP(_xlpm.age,Table_Mortalité!A:A,Table_Mortalité!D:D),
_xlpm.reserve_deces,
_xlfn.LET(
_xlpm.m,_xlpm.n-_xlpm.t-1,
IF(_xlpm.m&lt;=0,0,
   _xlfn.LET(
      _xlpm.ages,_xlfn.SEQUENCE(_xlpm.m,1,_xlpm.age+1,1),
      _xlpm.k,_xlfn.SEQUENCE(_xlpm.m,1,2,1),
      _xlpm.dx_vec,_xlfn.XLOOKUP(_xlpm.ages,Table_Mortalité!A:A,Table_Mortalité!E:E),
      _xlpm.Cap * SUMPRODUCT(_xlpm.dx_vec * _xlpm.v^_xlpm.k) / _xlpm.lx_t
   )
)
),
_xlpm.reserve_vie,
IF(_xlpm.t&gt;=_xlpm.n,0,
   _xlfn.LET(
      _xlpm.lx_n,_xlfn.XLOOKUP(_xlpm.x+_xlpm.n,Table_Mortalité!A:A,Table_Mortalité!D:D),
      _xlpm.Cap * (_xlpm.lx_n/_xlpm.lx_t) * _xlpm.v^(_xlpm.n-_xlpm.t)
   )
),
IF(_xlpm.type="Décès",_xlpm.reserve_deces,
   IF(_xlpm.type="Vie",_xlpm.reserve_vie,
      IF(_xlpm.type="Mixte",_xlpm.reserve_deces + _xlpm.reserve_vie,0)
   )
)
)</f>
        <v>0</v>
      </c>
      <c r="D38" s="38">
        <f>_xlfn.LET(
_xlpm.type,$B$6,
_xlpm.x,$B$5, _xlpm.n,$B$8, _xlpm.i,$B$10, _xlpm.Cap,$B$7,
_xlpm.t,A38, _xlpm.age,_xlpm.x+_xlpm.t, _xlpm.v,1/(1+_xlpm.i),
_xlpm.lx_t,_xlfn.XLOOKUP(_xlpm.age,Table_Mortalité!A:A,Table_Mortalité!D:D),
_xlpm.dx_t,_xlfn.XLOOKUP(_xlpm.age,Table_Mortalité!A:A,Table_Mortalité!E:E),
IF(OR(_xlpm.type="Décès",_xlpm.type="Mixte"),
   IF(_xlpm.t&gt;=_xlpm.n,0, _xlpm.Cap*(_xlpm.dx_t/_xlpm.lx_t)*_xlpm.v),
   0
)
)</f>
        <v>0</v>
      </c>
      <c r="E38" s="7">
        <f>C38+D38</f>
        <v>0</v>
      </c>
      <c r="F38" s="15">
        <f t="shared" si="3"/>
        <v>0</v>
      </c>
      <c r="G38" s="15">
        <f t="shared" si="4"/>
        <v>0</v>
      </c>
      <c r="H38" s="7">
        <f t="shared" si="5"/>
        <v>0</v>
      </c>
      <c r="I38">
        <f>0</f>
        <v>0</v>
      </c>
    </row>
    <row r="40" spans="1:9" ht="24.95" customHeight="1" x14ac:dyDescent="0.25">
      <c r="A40" s="78" t="s">
        <v>64</v>
      </c>
      <c r="B40" s="78"/>
      <c r="C40" s="78"/>
      <c r="D40" s="78"/>
      <c r="E40" s="78"/>
      <c r="F40" s="78"/>
      <c r="G40" s="78"/>
      <c r="H40" s="78"/>
    </row>
    <row r="42" spans="1:9" x14ac:dyDescent="0.25">
      <c r="A42" s="79" t="s">
        <v>65</v>
      </c>
      <c r="B42" s="79"/>
      <c r="C42" s="79"/>
      <c r="D42" s="79"/>
      <c r="E42" s="79"/>
      <c r="F42" s="79"/>
      <c r="G42" s="79"/>
      <c r="H42" s="79"/>
    </row>
    <row r="44" spans="1:9" x14ac:dyDescent="0.25">
      <c r="A44" s="39" t="s">
        <v>66</v>
      </c>
      <c r="B44" s="40" t="s">
        <v>67</v>
      </c>
      <c r="C44" s="46">
        <f>H18*0.15</f>
        <v>23816.644027225702</v>
      </c>
      <c r="D44" s="45" t="s">
        <v>68</v>
      </c>
      <c r="F44" s="39" t="s">
        <v>86</v>
      </c>
      <c r="G44" s="46">
        <f>H18*0.15</f>
        <v>23816.644027225702</v>
      </c>
    </row>
    <row r="45" spans="1:9" x14ac:dyDescent="0.25">
      <c r="A45" s="39" t="s">
        <v>69</v>
      </c>
      <c r="B45" s="40" t="s">
        <v>70</v>
      </c>
      <c r="C45" s="15">
        <f>H18*0.2</f>
        <v>31755.52536963427</v>
      </c>
      <c r="D45" s="45" t="s">
        <v>71</v>
      </c>
      <c r="F45" s="39" t="s">
        <v>87</v>
      </c>
      <c r="G45" s="15">
        <f>H18*0.2</f>
        <v>31755.52536963427</v>
      </c>
    </row>
    <row r="46" spans="1:9" x14ac:dyDescent="0.25">
      <c r="A46" s="39" t="s">
        <v>72</v>
      </c>
      <c r="B46" s="40" t="s">
        <v>73</v>
      </c>
      <c r="C46" s="15">
        <f>H18*0.05</f>
        <v>7938.8813424085674</v>
      </c>
      <c r="D46" s="45" t="s">
        <v>74</v>
      </c>
      <c r="F46" s="39" t="s">
        <v>88</v>
      </c>
      <c r="G46" s="15">
        <f>H18*0.05</f>
        <v>7938.8813424085674</v>
      </c>
    </row>
    <row r="47" spans="1:9" x14ac:dyDescent="0.25">
      <c r="F47" s="27"/>
      <c r="G47" s="15"/>
    </row>
    <row r="48" spans="1:9" x14ac:dyDescent="0.25">
      <c r="A48" s="27" t="s">
        <v>75</v>
      </c>
      <c r="B48" s="27" t="s">
        <v>76</v>
      </c>
      <c r="C48" s="47">
        <f>SQRT(C44^2 + C45^2 + C46^2 + 2*(-0.25)*C44*C45)</f>
        <v>35503.756693860683</v>
      </c>
    </row>
    <row r="50" spans="1:8" x14ac:dyDescent="0.25">
      <c r="A50" s="80" t="s">
        <v>77</v>
      </c>
      <c r="B50" s="80"/>
      <c r="C50" s="80"/>
      <c r="D50" s="80"/>
      <c r="E50" s="80"/>
      <c r="F50" s="80"/>
      <c r="G50" s="80"/>
      <c r="H50" s="80"/>
    </row>
    <row r="51" spans="1:8" ht="15.75" thickBot="1" x14ac:dyDescent="0.3"/>
    <row r="52" spans="1:8" ht="15.75" thickBot="1" x14ac:dyDescent="0.3">
      <c r="A52" s="27" t="s">
        <v>78</v>
      </c>
      <c r="C52" s="41">
        <f>0.25*C48</f>
        <v>8875.9391734651708</v>
      </c>
    </row>
    <row r="54" spans="1:8" x14ac:dyDescent="0.25">
      <c r="A54" s="81" t="s">
        <v>79</v>
      </c>
      <c r="B54" s="81"/>
      <c r="C54" s="81"/>
      <c r="D54" s="81"/>
      <c r="E54" s="81"/>
      <c r="F54" s="81"/>
      <c r="G54" s="81"/>
      <c r="H54" s="81"/>
    </row>
    <row r="55" spans="1:8" ht="15.75" thickBot="1" x14ac:dyDescent="0.3"/>
    <row r="56" spans="1:8" ht="15.75" thickBot="1" x14ac:dyDescent="0.3">
      <c r="A56" s="27" t="s">
        <v>80</v>
      </c>
      <c r="C56" s="41">
        <f>$B$11</f>
        <v>25000</v>
      </c>
    </row>
    <row r="58" spans="1:8" x14ac:dyDescent="0.25">
      <c r="A58" s="82" t="s">
        <v>81</v>
      </c>
      <c r="B58" s="82"/>
      <c r="C58" s="82"/>
      <c r="D58" s="82"/>
      <c r="E58" s="82"/>
      <c r="F58" s="82"/>
      <c r="G58" s="82"/>
      <c r="H58" s="82"/>
    </row>
    <row r="59" spans="1:8" ht="15.75" thickBot="1" x14ac:dyDescent="0.3"/>
    <row r="60" spans="1:8" ht="17.25" thickTop="1" thickBot="1" x14ac:dyDescent="0.3">
      <c r="A60" s="27" t="s">
        <v>82</v>
      </c>
      <c r="C60" s="42">
        <f>C56/C48</f>
        <v>0.70415083720768634</v>
      </c>
      <c r="D60" s="43" t="str">
        <f>IF(C60&gt;=1,"? Solvable",IF(C60&gt;=0.75,"?? Surveillance","Non conforme"))</f>
        <v>Non conforme</v>
      </c>
    </row>
    <row r="61" spans="1:8" ht="16.5" thickTop="1" thickBot="1" x14ac:dyDescent="0.3"/>
    <row r="62" spans="1:8" ht="17.25" thickTop="1" thickBot="1" x14ac:dyDescent="0.3">
      <c r="A62" s="27" t="s">
        <v>83</v>
      </c>
      <c r="C62" s="42">
        <f>C56/C52</f>
        <v>2.8166033488307454</v>
      </c>
      <c r="D62" s="43" t="str">
        <f>IF(C62&gt;=1,"Suffisant","Insuffisant")</f>
        <v>Suffisant</v>
      </c>
    </row>
    <row r="63" spans="1:8" ht="15.75" thickTop="1" x14ac:dyDescent="0.25"/>
    <row r="65" spans="1:10" ht="24.95" customHeight="1" x14ac:dyDescent="0.25"/>
    <row r="66" spans="1:10" x14ac:dyDescent="0.25">
      <c r="B66" s="48"/>
      <c r="C66" s="48" t="s">
        <v>89</v>
      </c>
      <c r="D66" s="48" t="s">
        <v>90</v>
      </c>
      <c r="E66" s="48" t="s">
        <v>10</v>
      </c>
    </row>
    <row r="67" spans="1:10" x14ac:dyDescent="0.25">
      <c r="B67" s="48" t="s">
        <v>91</v>
      </c>
      <c r="C67" s="49">
        <f>C56/C48</f>
        <v>0.70415083720768634</v>
      </c>
      <c r="D67" s="50">
        <v>1</v>
      </c>
      <c r="E67" s="51" t="str">
        <f>IF(C60&gt;=1,"? Solvable",IF(C60&gt;=0.75,"?? Surveillance","Non conforme"))</f>
        <v>Non conforme</v>
      </c>
    </row>
    <row r="68" spans="1:10" x14ac:dyDescent="0.25">
      <c r="B68" s="48" t="s">
        <v>92</v>
      </c>
      <c r="C68" s="49">
        <f>C56/C52</f>
        <v>2.8166033488307454</v>
      </c>
      <c r="D68" s="50">
        <v>1</v>
      </c>
      <c r="E68" s="51" t="str">
        <f>IF(C62&gt;=1,"Suffisant","Insuffisant")</f>
        <v>Suffisant</v>
      </c>
    </row>
    <row r="71" spans="1:10" x14ac:dyDescent="0.25">
      <c r="A71" s="11" t="s">
        <v>111</v>
      </c>
      <c r="B71" s="90" t="s">
        <v>112</v>
      </c>
      <c r="C71" s="90" t="s">
        <v>113</v>
      </c>
      <c r="D71" s="11" t="s">
        <v>114</v>
      </c>
      <c r="E71" s="11" t="s">
        <v>115</v>
      </c>
      <c r="F71" s="11" t="s">
        <v>116</v>
      </c>
      <c r="G71" s="11" t="s">
        <v>117</v>
      </c>
      <c r="H71" s="11" t="s">
        <v>118</v>
      </c>
      <c r="I71" s="11" t="s">
        <v>119</v>
      </c>
      <c r="J71" s="11" t="s">
        <v>120</v>
      </c>
    </row>
    <row r="72" spans="1:10" x14ac:dyDescent="0.25">
      <c r="A72" s="11" t="s">
        <v>49</v>
      </c>
      <c r="B72" s="90">
        <v>8363</v>
      </c>
      <c r="C72" s="90">
        <v>889</v>
      </c>
      <c r="D72" s="11">
        <v>9252</v>
      </c>
      <c r="E72" s="11">
        <v>2069</v>
      </c>
      <c r="F72" s="11">
        <v>1200</v>
      </c>
      <c r="G72" s="11">
        <v>600</v>
      </c>
      <c r="H72" s="11">
        <v>269</v>
      </c>
      <c r="I72" s="11">
        <v>1208.4000000000001</v>
      </c>
      <c r="J72" s="11">
        <v>4833.8</v>
      </c>
    </row>
    <row r="73" spans="1:10" x14ac:dyDescent="0.25">
      <c r="A73" s="11" t="s">
        <v>109</v>
      </c>
      <c r="B73" s="90">
        <v>127322</v>
      </c>
      <c r="C73" s="90">
        <v>22203</v>
      </c>
      <c r="D73" s="11">
        <v>149526</v>
      </c>
      <c r="E73" s="11">
        <v>33435</v>
      </c>
      <c r="F73" s="11">
        <v>12000</v>
      </c>
      <c r="G73" s="11">
        <v>18000</v>
      </c>
      <c r="H73" s="11">
        <v>3435</v>
      </c>
      <c r="I73" s="11">
        <v>74.8</v>
      </c>
      <c r="J73" s="11">
        <v>299.10000000000002</v>
      </c>
    </row>
    <row r="74" spans="1:10" x14ac:dyDescent="0.25">
      <c r="A74" s="11" t="s">
        <v>110</v>
      </c>
      <c r="B74" s="90">
        <v>135685</v>
      </c>
      <c r="C74" s="90">
        <v>23092</v>
      </c>
      <c r="D74" s="11">
        <v>158778</v>
      </c>
      <c r="E74" s="11">
        <v>35504</v>
      </c>
      <c r="F74" s="11">
        <v>13000</v>
      </c>
      <c r="G74" s="11">
        <v>19000</v>
      </c>
      <c r="H74" s="11">
        <v>3504</v>
      </c>
      <c r="I74" s="11">
        <v>70.400000000000006</v>
      </c>
      <c r="J74" s="11">
        <v>281.7</v>
      </c>
    </row>
    <row r="85" ht="30" customHeight="1" x14ac:dyDescent="0.25"/>
    <row r="87" ht="24.95" customHeight="1" x14ac:dyDescent="0.25"/>
  </sheetData>
  <mergeCells count="11">
    <mergeCell ref="A1:H1"/>
    <mergeCell ref="A2:H2"/>
    <mergeCell ref="A4:H4"/>
    <mergeCell ref="A14:H14"/>
    <mergeCell ref="C16:D16"/>
    <mergeCell ref="E16:G16"/>
    <mergeCell ref="A40:H40"/>
    <mergeCell ref="A42:H42"/>
    <mergeCell ref="A50:H50"/>
    <mergeCell ref="A54:H54"/>
    <mergeCell ref="A58:H58"/>
  </mergeCells>
  <conditionalFormatting sqref="C60">
    <cfRule type="cellIs" dxfId="4" priority="1" stopIfTrue="1" operator="greaterThanOrEqual">
      <formula>1</formula>
    </cfRule>
    <cfRule type="cellIs" dxfId="3" priority="2" stopIfTrue="1" operator="between">
      <formula>"0.75"</formula>
      <formula>"0.999"</formula>
    </cfRule>
    <cfRule type="cellIs" dxfId="2" priority="3" stopIfTrue="1" operator="lessThan">
      <formula>"0.75"</formula>
    </cfRule>
  </conditionalFormatting>
  <conditionalFormatting sqref="C62">
    <cfRule type="cellIs" dxfId="1" priority="4" stopIfTrue="1" operator="greaterThanOrEqual">
      <formula>1</formula>
    </cfRule>
    <cfRule type="cellIs" dxfId="0" priority="5" stopIfTrue="1" operator="lessThan">
      <formula>1</formula>
    </cfRule>
  </conditionalFormatting>
  <dataValidations count="1">
    <dataValidation type="list" allowBlank="1" showInputMessage="1" showErrorMessage="1" sqref="B6" xr:uid="{F5565376-E92A-4752-8377-785759784AEB}">
      <formula1>"Décès,Vie,Mixte"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62E9E-5FCB-4182-AC1D-DBD47845CAF2}">
  <sheetPr codeName="Feuil6">
    <tabColor rgb="FFFF00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4331-DC1C-4600-8CBC-C8BC1BDA6677}">
  <sheetPr codeName="Feuil8">
    <tabColor theme="8" tint="-0.249977111117893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0B61-A70B-4D7B-8EE4-1442FA58A9E2}">
  <sheetPr codeName="Feuil5">
    <tabColor theme="2" tint="-0.499984740745262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73AD-5B2E-4510-A711-C57344470E92}">
  <sheetPr codeName="Feuil12">
    <tabColor theme="3" tint="0.499984740745262"/>
  </sheetPr>
  <dimension ref="A1:H18"/>
  <sheetViews>
    <sheetView workbookViewId="0">
      <selection activeCell="F13" sqref="F13"/>
    </sheetView>
  </sheetViews>
  <sheetFormatPr baseColWidth="10" defaultRowHeight="15" x14ac:dyDescent="0.25"/>
  <cols>
    <col min="1" max="1" width="21.7109375" customWidth="1"/>
    <col min="2" max="2" width="14" customWidth="1"/>
    <col min="3" max="3" width="12.85546875" customWidth="1"/>
    <col min="4" max="5" width="14.7109375" customWidth="1"/>
    <col min="6" max="6" width="14.85546875" customWidth="1"/>
    <col min="7" max="7" width="15.28515625" customWidth="1"/>
  </cols>
  <sheetData>
    <row r="1" spans="1:8" x14ac:dyDescent="0.25">
      <c r="A1" s="88" t="s">
        <v>93</v>
      </c>
      <c r="B1" s="88"/>
      <c r="C1" s="88"/>
      <c r="D1" s="88"/>
      <c r="E1" s="88"/>
      <c r="F1" s="88"/>
    </row>
    <row r="2" spans="1:8" ht="15.75" thickBot="1" x14ac:dyDescent="0.3"/>
    <row r="3" spans="1:8" ht="16.5" thickTop="1" x14ac:dyDescent="0.25">
      <c r="A3" s="85" t="s">
        <v>96</v>
      </c>
      <c r="B3" s="85"/>
      <c r="C3" s="85"/>
      <c r="D3" s="85"/>
      <c r="E3" s="85"/>
      <c r="F3" s="85"/>
      <c r="G3" s="85"/>
      <c r="H3" s="85"/>
    </row>
    <row r="4" spans="1:8" x14ac:dyDescent="0.25">
      <c r="A4" s="54" t="s">
        <v>94</v>
      </c>
      <c r="B4" s="54">
        <f>Provisions_Techniques!$B$5</f>
        <v>40</v>
      </c>
      <c r="C4" s="54"/>
    </row>
    <row r="5" spans="1:8" x14ac:dyDescent="0.25">
      <c r="A5" s="54" t="s">
        <v>95</v>
      </c>
      <c r="B5" s="55">
        <f>Provisions_Techniques!$B$7</f>
        <v>200000</v>
      </c>
      <c r="C5" s="54"/>
    </row>
    <row r="6" spans="1:8" x14ac:dyDescent="0.25">
      <c r="A6" s="54" t="s">
        <v>97</v>
      </c>
      <c r="B6" s="56">
        <f>Provisions_Techniques!$B$10</f>
        <v>0.02</v>
      </c>
      <c r="C6" s="54"/>
    </row>
    <row r="7" spans="1:8" x14ac:dyDescent="0.25">
      <c r="A7" s="54" t="s">
        <v>98</v>
      </c>
      <c r="B7" s="55">
        <f>Provisions_Techniques!$B$9</f>
        <v>5234</v>
      </c>
      <c r="C7" s="54"/>
    </row>
    <row r="8" spans="1:8" x14ac:dyDescent="0.25">
      <c r="A8" s="54" t="s">
        <v>99</v>
      </c>
      <c r="B8" s="55">
        <f>Provisions_Techniques!$H$18</f>
        <v>158777.62684817135</v>
      </c>
      <c r="C8" s="54"/>
    </row>
    <row r="10" spans="1:8" x14ac:dyDescent="0.25">
      <c r="A10" s="89" t="s">
        <v>100</v>
      </c>
      <c r="B10" s="89"/>
      <c r="C10" s="89"/>
      <c r="D10" s="89"/>
      <c r="E10" s="89"/>
    </row>
    <row r="11" spans="1:8" ht="15.75" thickBot="1" x14ac:dyDescent="0.3"/>
    <row r="12" spans="1:8" x14ac:dyDescent="0.25">
      <c r="A12" s="57" t="s">
        <v>101</v>
      </c>
      <c r="B12" s="58" t="s">
        <v>102</v>
      </c>
      <c r="C12" s="58" t="s">
        <v>103</v>
      </c>
      <c r="D12" s="58" t="s">
        <v>104</v>
      </c>
      <c r="E12" s="58" t="s">
        <v>105</v>
      </c>
      <c r="F12" s="58" t="s">
        <v>106</v>
      </c>
      <c r="G12" s="59" t="s">
        <v>107</v>
      </c>
    </row>
    <row r="13" spans="1:8" x14ac:dyDescent="0.25">
      <c r="A13" s="60">
        <v>1.4999999999999999E-2</v>
      </c>
      <c r="B13" s="53">
        <f>$B$5</f>
        <v>200000</v>
      </c>
      <c r="C13" s="53">
        <f>Provisions_Techniques!$C$22 * ((1+$B$6)^5) / ((1+A13)^5)</f>
        <v>149934.64914483397</v>
      </c>
      <c r="D13" s="53">
        <f>Provisions_Techniques!$C$27 * ((1+$B$6)^10) / ((1+A13)^10)</f>
        <v>169093.17807119773</v>
      </c>
      <c r="E13" s="53">
        <f>Provisions_Techniques!$C$32 * ((1+$B$6)^15) / ((1+A13)^15)</f>
        <v>190649.63433418481</v>
      </c>
      <c r="F13" s="52">
        <f>((C13/C15-1)+(D13/D15-1)+(E13/E15-1))/3</f>
        <v>0.10389057648804312</v>
      </c>
      <c r="G13" s="61"/>
    </row>
    <row r="14" spans="1:8" x14ac:dyDescent="0.25">
      <c r="A14" s="60">
        <v>0.02</v>
      </c>
      <c r="B14" s="53">
        <f t="shared" ref="B14:B18" si="0">$B$5</f>
        <v>200000</v>
      </c>
      <c r="C14" s="53">
        <f>Provisions_Techniques!$C$22 * ((1+$B$6)^5) / ((1+A14)^5)</f>
        <v>146295.6322432195</v>
      </c>
      <c r="D14" s="53">
        <f>Provisions_Techniques!$C$27 * ((1+$B$6)^10) / ((1+A14)^10)</f>
        <v>160984.77004161858</v>
      </c>
      <c r="E14" s="53">
        <f>Provisions_Techniques!$C$32 * ((1+$B$6)^15) / ((1+A14)^15)</f>
        <v>177102.23173637304</v>
      </c>
      <c r="F14" s="52">
        <f t="shared" ref="F14:F18" si="1">((C14/C16-1)+(D14/D16-1)+(E14/E16-1))/3</f>
        <v>0.10335416749213915</v>
      </c>
      <c r="G14" s="61"/>
    </row>
    <row r="15" spans="1:8" x14ac:dyDescent="0.25">
      <c r="A15" s="60">
        <v>2.5000000000000001E-2</v>
      </c>
      <c r="B15" s="53">
        <f t="shared" si="0"/>
        <v>200000</v>
      </c>
      <c r="C15" s="53">
        <f>Provisions_Techniques!$C$22 * ((1+$B$6)^5) / ((1+A15)^5)</f>
        <v>142762.08826438867</v>
      </c>
      <c r="D15" s="53">
        <f>Provisions_Techniques!$C$27 * ((1+$B$6)^10) / ((1+A15)^10)</f>
        <v>153302.01217925982</v>
      </c>
      <c r="E15" s="53">
        <f>Provisions_Techniques!$C$32 * ((1+$B$6)^15) / ((1+A15)^15)</f>
        <v>164576.80597418488</v>
      </c>
      <c r="F15" s="52">
        <f t="shared" si="1"/>
        <v>0.10282326472648069</v>
      </c>
      <c r="G15" s="61"/>
    </row>
    <row r="16" spans="1:8" x14ac:dyDescent="0.25">
      <c r="A16" s="60">
        <v>0.03</v>
      </c>
      <c r="B16" s="53">
        <f t="shared" si="0"/>
        <v>200000</v>
      </c>
      <c r="C16" s="53">
        <f>Provisions_Techniques!$C$22 * ((1+$B$6)^5) / ((1+A16)^5)</f>
        <v>139330.46786134416</v>
      </c>
      <c r="D16" s="53">
        <f>Provisions_Techniques!$C$27 * ((1+$B$6)^10) / ((1+A16)^10)</f>
        <v>146020.64488613789</v>
      </c>
      <c r="E16" s="53">
        <f>Provisions_Techniques!$C$32 * ((1+$B$6)^15) / ((1+A16)^15)</f>
        <v>152991.83012478048</v>
      </c>
      <c r="F16" s="52">
        <f t="shared" si="1"/>
        <v>0.10229778390708828</v>
      </c>
      <c r="G16" s="61"/>
    </row>
    <row r="17" spans="1:7" x14ac:dyDescent="0.25">
      <c r="A17" s="60">
        <v>3.5000000000000003E-2</v>
      </c>
      <c r="B17" s="53">
        <f t="shared" si="0"/>
        <v>200000</v>
      </c>
      <c r="C17" s="53">
        <f>Provisions_Techniques!$C$22 * ((1+$B$6)^5) / ((1+A17)^5)</f>
        <v>135997.3575377485</v>
      </c>
      <c r="D17" s="53">
        <f>Provisions_Techniques!$C$27 * ((1+$B$6)^10) / ((1+A17)^10)</f>
        <v>139117.89933691928</v>
      </c>
      <c r="E17" s="53">
        <f>Provisions_Techniques!$C$32 * ((1+$B$6)^15) / ((1+A17)^15)</f>
        <v>142272.63120690844</v>
      </c>
      <c r="F17" s="64" t="e">
        <f t="shared" si="1"/>
        <v>#DIV/0!</v>
      </c>
      <c r="G17" s="61"/>
    </row>
    <row r="18" spans="1:7" ht="15.75" thickBot="1" x14ac:dyDescent="0.3">
      <c r="A18" s="62">
        <v>0.04</v>
      </c>
      <c r="B18" s="53">
        <f t="shared" si="0"/>
        <v>200000</v>
      </c>
      <c r="C18" s="53">
        <f>Provisions_Techniques!$C$22 * ((1+$B$6)^5) / ((1+A18)^5)</f>
        <v>132759.47382620207</v>
      </c>
      <c r="D18" s="53">
        <f>Provisions_Techniques!$C$27 * ((1+$B$6)^10) / ((1+A18)^10)</f>
        <v>132572.39928860625</v>
      </c>
      <c r="E18" s="53">
        <f>Provisions_Techniques!$C$32 * ((1+$B$6)^15) / ((1+A18)^15)</f>
        <v>132350.78480345578</v>
      </c>
      <c r="F18" s="52" t="e">
        <f t="shared" si="1"/>
        <v>#DIV/0!</v>
      </c>
      <c r="G18" s="63"/>
    </row>
  </sheetData>
  <mergeCells count="3">
    <mergeCell ref="A1:F1"/>
    <mergeCell ref="A3:H3"/>
    <mergeCell ref="A10:E1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801B-B970-4400-AC00-C5C6CCADF13D}">
  <sheetPr codeName="Feuil10">
    <tabColor theme="8" tint="0.59999389629810485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Données_Brutes</vt:lpstr>
      <vt:lpstr>Table_Mortalité</vt:lpstr>
      <vt:lpstr>Prime_Pure</vt:lpstr>
      <vt:lpstr>Graphiques</vt:lpstr>
      <vt:lpstr>Provisions_Techniques</vt:lpstr>
      <vt:lpstr>Rapport</vt:lpstr>
      <vt:lpstr>Documentation</vt:lpstr>
      <vt:lpstr>Paramètres</vt:lpstr>
      <vt:lpstr>Sensibilité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Synthia JATSA NGUEGANG</dc:creator>
  <cp:lastModifiedBy>Jordan Jatsa lekane</cp:lastModifiedBy>
  <dcterms:created xsi:type="dcterms:W3CDTF">2026-02-14T15:28:02Z</dcterms:created>
  <dcterms:modified xsi:type="dcterms:W3CDTF">2026-03-04T23:16:46Z</dcterms:modified>
</cp:coreProperties>
</file>